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al Awal" sheetId="1" r:id="rId5"/>
    <sheet state="visible" name="Belanja per Batch" sheetId="2" r:id="rId6"/>
    <sheet state="hidden" name="Resep Kiss" sheetId="3" r:id="rId7"/>
    <sheet state="hidden" name="Resep Pondan" sheetId="4" r:id="rId8"/>
    <sheet state="hidden" name="Resep Kiss+Haan" sheetId="5" r:id="rId9"/>
    <sheet state="hidden" name="Resep Kis+Haan+Whipking" sheetId="6" r:id="rId10"/>
    <sheet state="visible" name="Resep Fix" sheetId="7" r:id="rId11"/>
    <sheet state="visible" name="Rekap Penjualan" sheetId="8" r:id="rId12"/>
    <sheet state="hidden" name="Online Market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7">
      <text>
        <t xml:space="preserve">5k parkir</t>
      </text>
    </comment>
    <comment authorId="0" ref="K9">
      <text>
        <t xml:space="preserve">10k Lapak GOR</t>
      </text>
    </comment>
    <comment authorId="0" ref="K21">
      <text>
        <t xml:space="preserve">10k Lapak GOR</t>
      </text>
    </comment>
    <comment authorId="0" ref="K15">
      <text>
        <t xml:space="preserve">10k Lapak GOR</t>
      </text>
    </comment>
    <comment authorId="0" ref="K28">
      <text>
        <t xml:space="preserve">10k lapak GOR</t>
      </text>
    </comment>
  </commentList>
</comments>
</file>

<file path=xl/sharedStrings.xml><?xml version="1.0" encoding="utf-8"?>
<sst xmlns="http://schemas.openxmlformats.org/spreadsheetml/2006/main" count="1017" uniqueCount="229">
  <si>
    <t>REKAP USAHA GABINETTE MS</t>
  </si>
  <si>
    <t>TAKARAN BAHAN</t>
  </si>
  <si>
    <t>Tingkatan Net Profit:</t>
  </si>
  <si>
    <t xml:space="preserve">Varian Gabin </t>
  </si>
  <si>
    <t>Pembelian Bahan Batch 2</t>
  </si>
  <si>
    <t>Pembelian Alat</t>
  </si>
  <si>
    <t>Cokelat</t>
  </si>
  <si>
    <t>Double Choco</t>
  </si>
  <si>
    <t>Matcha</t>
  </si>
  <si>
    <t>No</t>
  </si>
  <si>
    <t>Keterangan</t>
  </si>
  <si>
    <t>Jumlah</t>
  </si>
  <si>
    <t>Varian</t>
  </si>
  <si>
    <t>Ukuran</t>
  </si>
  <si>
    <t>Harga</t>
  </si>
  <si>
    <t>Bahan</t>
  </si>
  <si>
    <t>Total Harga</t>
  </si>
  <si>
    <t>Pemakaian 1 loyang</t>
  </si>
  <si>
    <t>Pemakaian 1 pcs</t>
  </si>
  <si>
    <t>Harga/pcs</t>
  </si>
  <si>
    <t>Strawberry</t>
  </si>
  <si>
    <t>Kis Whipping Cream</t>
  </si>
  <si>
    <t>Meja Lipat</t>
  </si>
  <si>
    <t>300 gr</t>
  </si>
  <si>
    <t>Whipping Cream</t>
  </si>
  <si>
    <t>200 gr</t>
  </si>
  <si>
    <t>22 gr</t>
  </si>
  <si>
    <t>Gabin</t>
  </si>
  <si>
    <t>18 pcs</t>
  </si>
  <si>
    <t>2 pcs</t>
  </si>
  <si>
    <t>Matcha Reo</t>
  </si>
  <si>
    <t>Bubuk Matcha</t>
  </si>
  <si>
    <t>10 gr</t>
  </si>
  <si>
    <t>Susu SKM</t>
  </si>
  <si>
    <t>90 gr</t>
  </si>
  <si>
    <t>Kursi Lipat</t>
  </si>
  <si>
    <t>9 gr</t>
  </si>
  <si>
    <t>Cookies &amp; Cream</t>
  </si>
  <si>
    <t>Pondan Whipping Cream</t>
  </si>
  <si>
    <t>Loyang 20x20</t>
  </si>
  <si>
    <t>100 gr</t>
  </si>
  <si>
    <t>Alat Lain</t>
  </si>
  <si>
    <t>Strawberry Matcha</t>
  </si>
  <si>
    <t>Tenaga</t>
  </si>
  <si>
    <t>Haan Whipping Cream</t>
  </si>
  <si>
    <t>Aluminium Foil</t>
  </si>
  <si>
    <t>30 cm x 7,6 m</t>
  </si>
  <si>
    <t>Dairy SKM</t>
  </si>
  <si>
    <t>1 kg</t>
  </si>
  <si>
    <t>Chocho Chips</t>
  </si>
  <si>
    <t>Coller Bag</t>
  </si>
  <si>
    <t xml:space="preserve">Gabin </t>
  </si>
  <si>
    <t>Ice Pack</t>
  </si>
  <si>
    <t>Banner</t>
  </si>
  <si>
    <t>Timbangan</t>
  </si>
  <si>
    <t>Aluminium Foil Box</t>
  </si>
  <si>
    <t xml:space="preserve">Mixer </t>
  </si>
  <si>
    <t>Payung</t>
  </si>
  <si>
    <t>Holder Payung</t>
  </si>
  <si>
    <t xml:space="preserve">Sewa Lapak di GOR </t>
  </si>
  <si>
    <t>TOTAL HARGA</t>
  </si>
  <si>
    <t>Cookies and Cream</t>
  </si>
  <si>
    <t>Pembelian Bahan Batch 3</t>
  </si>
  <si>
    <t>Oreo</t>
  </si>
  <si>
    <t>Plastik Party</t>
  </si>
  <si>
    <t>59,5 gr</t>
  </si>
  <si>
    <t>6,6 gr</t>
  </si>
  <si>
    <t>Plastik Wrap</t>
  </si>
  <si>
    <t>900 gr</t>
  </si>
  <si>
    <t>Sticker</t>
  </si>
  <si>
    <t>Double Tape</t>
  </si>
  <si>
    <t>Selai Strawberry</t>
  </si>
  <si>
    <t>Sarung Tangan</t>
  </si>
  <si>
    <t>250 gr</t>
  </si>
  <si>
    <t>Choco Chip Elmer</t>
  </si>
  <si>
    <t>Gorio Rio</t>
  </si>
  <si>
    <t>Pembelian Bahan Batch 1</t>
  </si>
  <si>
    <t>Bubuk Cokelat</t>
  </si>
  <si>
    <t>1,1 gr</t>
  </si>
  <si>
    <t>Pewarna Cokelat</t>
  </si>
  <si>
    <t>3 ml</t>
  </si>
  <si>
    <t>0,3 ml</t>
  </si>
  <si>
    <t>Pembelian Bahan Batch 4</t>
  </si>
  <si>
    <t>30 cm x 10 m</t>
  </si>
  <si>
    <t>Gula Pasir</t>
  </si>
  <si>
    <t>10 x 30 cm</t>
  </si>
  <si>
    <t>Chocho chips</t>
  </si>
  <si>
    <t>45 gr</t>
  </si>
  <si>
    <t>400 gr</t>
  </si>
  <si>
    <t>30 ml</t>
  </si>
  <si>
    <t>Bubuk Cokelat Van Houten</t>
  </si>
  <si>
    <t>40 gr</t>
  </si>
  <si>
    <t>Pewarna Hijau</t>
  </si>
  <si>
    <t>Double Chocho</t>
  </si>
  <si>
    <t xml:space="preserve">Bubuk Coklat </t>
  </si>
  <si>
    <t>Plastik Kresek</t>
  </si>
  <si>
    <t>80 gr</t>
  </si>
  <si>
    <t>440 gr</t>
  </si>
  <si>
    <t>Regal</t>
  </si>
  <si>
    <t>125 gr</t>
  </si>
  <si>
    <t>Susu Full Cream Ultra Milk</t>
  </si>
  <si>
    <t>125 ml</t>
  </si>
  <si>
    <t xml:space="preserve">Buah Strawberry </t>
  </si>
  <si>
    <t>kecil</t>
  </si>
  <si>
    <t>Agar agar plan</t>
  </si>
  <si>
    <t>7 gr</t>
  </si>
  <si>
    <t>Nissin Gabin</t>
  </si>
  <si>
    <t>Pembelian Bahan Batch 5</t>
  </si>
  <si>
    <t>119 gr</t>
  </si>
  <si>
    <t>110.4 gr</t>
  </si>
  <si>
    <t>Hatari Hong Puff (Gabin)</t>
  </si>
  <si>
    <t>Choco Chip Lagie</t>
  </si>
  <si>
    <t>Whipking</t>
  </si>
  <si>
    <t>GRAND TOTAL HARGA</t>
  </si>
  <si>
    <t>Pembelian Bahan Batch 6</t>
  </si>
  <si>
    <t>11,1 gr</t>
  </si>
  <si>
    <t>Pembelian Bahan Batch 7</t>
  </si>
  <si>
    <t>Nissin Gabin Keju</t>
  </si>
  <si>
    <t>140 gr</t>
  </si>
  <si>
    <t>Nissin Gabin Original</t>
  </si>
  <si>
    <t>Bubuk Coklat Van Houten</t>
  </si>
  <si>
    <t>50 gr</t>
  </si>
  <si>
    <t>5,55 gr</t>
  </si>
  <si>
    <t>Choco Chips Lagie</t>
  </si>
  <si>
    <t>Oreo Choco Vanila</t>
  </si>
  <si>
    <t>105 gr</t>
  </si>
  <si>
    <t>Pasta Coklat</t>
  </si>
  <si>
    <t>5 gr</t>
  </si>
  <si>
    <t>0,55 gr</t>
  </si>
  <si>
    <t>115 gr</t>
  </si>
  <si>
    <t xml:space="preserve">Haan </t>
  </si>
  <si>
    <t>Kis</t>
  </si>
  <si>
    <t>0,5 kg</t>
  </si>
  <si>
    <t>SKM Dairy</t>
  </si>
  <si>
    <t>30 cm</t>
  </si>
  <si>
    <t>SKM Coklat Sachet FF</t>
  </si>
  <si>
    <t>SMK Coklat Sachet Enak</t>
  </si>
  <si>
    <t>1 renceng</t>
  </si>
  <si>
    <t>30 cm x 8 m</t>
  </si>
  <si>
    <t>Pembelian Bahan Batch 8</t>
  </si>
  <si>
    <t>0,25 kg</t>
  </si>
  <si>
    <t>165 gr</t>
  </si>
  <si>
    <t>KlinPak Alumunium Foil</t>
  </si>
  <si>
    <t>45 cm x 8 m</t>
  </si>
  <si>
    <t>Nissin Gabin Susu</t>
  </si>
  <si>
    <t>Keterangan:</t>
  </si>
  <si>
    <t>Haan 200 gr</t>
  </si>
  <si>
    <t>Kiss 900 gr</t>
  </si>
  <si>
    <t>Resep</t>
  </si>
  <si>
    <t>Haan 20 gr</t>
  </si>
  <si>
    <t>Kiss 180 gr</t>
  </si>
  <si>
    <t>Gorio-Rio</t>
  </si>
  <si>
    <t>60 gr</t>
  </si>
  <si>
    <t>8,8 gr</t>
  </si>
  <si>
    <t>Kis 900 gr</t>
  </si>
  <si>
    <t>Whipking 200 gr</t>
  </si>
  <si>
    <t>11,6 gr</t>
  </si>
  <si>
    <t>Harga Jual</t>
  </si>
  <si>
    <t>Laba/pcs</t>
  </si>
  <si>
    <t>Laba/loyang</t>
  </si>
  <si>
    <t>Kis 90 gr</t>
  </si>
  <si>
    <t>Whipking 90 gr</t>
  </si>
  <si>
    <t>Haan 25 gr</t>
  </si>
  <si>
    <t>Kis 100 gr</t>
  </si>
  <si>
    <t>Whipking 75 gr</t>
  </si>
  <si>
    <t>SKM Enak</t>
  </si>
  <si>
    <t>Harga Lama</t>
  </si>
  <si>
    <t>52,5 gr</t>
  </si>
  <si>
    <t>5,9 gr</t>
  </si>
  <si>
    <t>Modal Awal</t>
  </si>
  <si>
    <t>SIsa BEP</t>
  </si>
  <si>
    <t>Harga Baru</t>
  </si>
  <si>
    <t>Laba</t>
  </si>
  <si>
    <t>Tanggal</t>
  </si>
  <si>
    <t>Chocolate</t>
  </si>
  <si>
    <t>Matcha Oreo</t>
  </si>
  <si>
    <t>Matcha Strawberry</t>
  </si>
  <si>
    <t>Total</t>
  </si>
  <si>
    <t>Total Omset</t>
  </si>
  <si>
    <t>Total Laba</t>
  </si>
  <si>
    <t>Ket</t>
  </si>
  <si>
    <t>Hasil</t>
  </si>
  <si>
    <t>Belanja Batch Selanjutnya</t>
  </si>
  <si>
    <t>Hasil Bersih</t>
  </si>
  <si>
    <t>19 Sept 2026</t>
  </si>
  <si>
    <t>Batch 1</t>
  </si>
  <si>
    <t>20 Sept 2026</t>
  </si>
  <si>
    <t>Batch 2</t>
  </si>
  <si>
    <t>21 Sept 2026</t>
  </si>
  <si>
    <t>DATA AKUN MARKET ONLINE</t>
  </si>
  <si>
    <t>Akun</t>
  </si>
  <si>
    <t>Nama</t>
  </si>
  <si>
    <t>Email</t>
  </si>
  <si>
    <t>Password</t>
  </si>
  <si>
    <t>Nomor</t>
  </si>
  <si>
    <t>Batch 3</t>
  </si>
  <si>
    <t>JakMall</t>
  </si>
  <si>
    <t>mega septianti</t>
  </si>
  <si>
    <t>nuvorastore.id@gmail.com</t>
  </si>
  <si>
    <t>270116Mega*</t>
  </si>
  <si>
    <t>085878847826</t>
  </si>
  <si>
    <t>Berdu</t>
  </si>
  <si>
    <t>Shopee</t>
  </si>
  <si>
    <t>megha30</t>
  </si>
  <si>
    <t>22 Sept 2026</t>
  </si>
  <si>
    <t>085162602890</t>
  </si>
  <si>
    <t>Tokopedia</t>
  </si>
  <si>
    <t>Nuvorastore id</t>
  </si>
  <si>
    <t>Tik Tok</t>
  </si>
  <si>
    <t>Batch 4</t>
  </si>
  <si>
    <t>Lazada</t>
  </si>
  <si>
    <t>Meta Ads</t>
  </si>
  <si>
    <t>Facebook</t>
  </si>
  <si>
    <t>Mega Septianti</t>
  </si>
  <si>
    <t>Instagram</t>
  </si>
  <si>
    <t>23 Sept 2026</t>
  </si>
  <si>
    <t>Batch 5</t>
  </si>
  <si>
    <t>24 Sept 2026</t>
  </si>
  <si>
    <t>Batch 6</t>
  </si>
  <si>
    <t>26 Sept 2026</t>
  </si>
  <si>
    <t>Batch 7</t>
  </si>
  <si>
    <t>27 Sept 2026</t>
  </si>
  <si>
    <t>Batch 8</t>
  </si>
  <si>
    <t>29 Sept 2026</t>
  </si>
  <si>
    <t>30 Sept 2026</t>
  </si>
  <si>
    <t xml:space="preserve"> </t>
  </si>
  <si>
    <t>TOTAL</t>
  </si>
  <si>
    <t>Stock</t>
  </si>
  <si>
    <t>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</si>
</sst>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dd mmm yyyy"/>
  </numFmts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2" fillId="0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vertical="center"/>
    </xf>
    <xf borderId="1" fillId="4" fontId="2" numFmtId="164" xfId="0" applyAlignment="1" applyBorder="1" applyFill="1" applyFont="1" applyNumberFormat="1">
      <alignment horizontal="center" readingOrder="0"/>
    </xf>
    <xf borderId="1" fillId="3" fontId="2" numFmtId="164" xfId="0" applyAlignment="1" applyBorder="1" applyFill="1" applyFont="1" applyNumberFormat="1">
      <alignment horizontal="right" readingOrder="0"/>
    </xf>
    <xf borderId="1" fillId="4" fontId="2" numFmtId="164" xfId="0" applyAlignment="1" applyBorder="1" applyFill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readingOrder="0"/>
    </xf>
    <xf borderId="3" fillId="0" fontId="4" numFmtId="0" xfId="0" applyBorder="1" applyFont="1"/>
    <xf borderId="1" fillId="3" fontId="2" numFmtId="164" xfId="0" applyAlignment="1" applyBorder="1" applyFill="1" applyFont="1" applyNumberFormat="1">
      <alignment horizontal="right"/>
    </xf>
    <xf borderId="1" fillId="0" fontId="2" numFmtId="164" xfId="0" applyBorder="1" applyFont="1" applyNumberFormat="1"/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4" fillId="0" fontId="4" numFmtId="0" xfId="0" applyBorder="1" applyFont="1"/>
    <xf borderId="1" fillId="3" fontId="2" numFmtId="164" xfId="0" applyAlignment="1" applyBorder="1" applyFill="1" applyFont="1" applyNumberFormat="1">
      <alignment readingOrder="0"/>
    </xf>
    <xf borderId="1" fillId="4" fontId="2" numFmtId="164" xfId="0" applyBorder="1" applyFill="1" applyFont="1" applyNumberFormat="1"/>
    <xf borderId="0" fillId="4" fontId="2" numFmtId="0" xfId="0" applyAlignment="1" applyFill="1" applyFont="1">
      <alignment horizontal="center" readingOrder="0"/>
    </xf>
    <xf borderId="5" fillId="5" fontId="3" numFmtId="164" xfId="0" applyBorder="1" applyFill="1" applyFont="1" applyNumberFormat="1"/>
    <xf borderId="0" fillId="4" fontId="2" numFmtId="0" xfId="0" applyFill="1" applyFont="1"/>
    <xf borderId="6" fillId="0" fontId="4" numFmtId="0" xfId="0" applyBorder="1" applyFont="1"/>
    <xf borderId="7" fillId="0" fontId="4" numFmtId="0" xfId="0" applyBorder="1" applyFont="1"/>
    <xf borderId="0" fillId="0" fontId="2" numFmtId="164" xfId="0" applyFont="1" applyNumberFormat="1"/>
    <xf borderId="2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5" fontId="3" numFmtId="164" xfId="0" applyBorder="1" applyFill="1" applyFont="1" applyNumberFormat="1"/>
    <xf borderId="1" fillId="4" fontId="2" numFmtId="164" xfId="0" applyAlignment="1" applyBorder="1" applyFill="1" applyFont="1" applyNumberFormat="1">
      <alignment horizontal="right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1" fillId="0" fontId="2" numFmtId="0" xfId="0" applyBorder="1" applyFont="1"/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readingOrder="0" vertical="center"/>
    </xf>
    <xf borderId="1" fillId="6" fontId="2" numFmtId="0" xfId="0" applyAlignment="1" applyBorder="1" applyFill="1" applyFont="1">
      <alignment horizontal="center" readingOrder="0"/>
    </xf>
    <xf borderId="1" fillId="6" fontId="2" numFmtId="164" xfId="0" applyAlignment="1" applyBorder="1" applyFill="1" applyFont="1" applyNumberFormat="1">
      <alignment horizontal="right" readingOrder="0"/>
    </xf>
    <xf borderId="1" fillId="6" fontId="2" numFmtId="164" xfId="0" applyAlignment="1" applyBorder="1" applyFill="1" applyFont="1" applyNumberFormat="1">
      <alignment readingOrder="0"/>
    </xf>
    <xf borderId="1" fillId="6" fontId="2" numFmtId="0" xfId="0" applyBorder="1" applyFill="1" applyFont="1"/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4" fontId="3" numFmtId="164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4" fontId="3" numFmtId="164" xfId="0" applyAlignment="1" applyBorder="1" applyFill="1" applyFont="1" applyNumberFormat="1">
      <alignment horizontal="center" readingOrder="0"/>
    </xf>
    <xf borderId="1" fillId="8" fontId="3" numFmtId="0" xfId="0" applyAlignment="1" applyBorder="1" applyFill="1" applyFont="1">
      <alignment horizontal="center" readingOrder="0"/>
    </xf>
    <xf borderId="1" fillId="9" fontId="3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center" readingOrder="0"/>
    </xf>
    <xf quotePrefix="1" borderId="1" fillId="0" fontId="2" numFmtId="0" xfId="0" applyAlignment="1" applyBorder="1" applyFont="1">
      <alignment horizontal="center" readingOrder="0"/>
    </xf>
    <xf borderId="1" fillId="5" fontId="2" numFmtId="0" xfId="0" applyAlignment="1" applyBorder="1" applyFill="1" applyFont="1">
      <alignment readingOrder="0"/>
    </xf>
    <xf borderId="1" fillId="10" fontId="3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1" fillId="12" fontId="3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horizontal="center" readingOrder="0"/>
    </xf>
    <xf borderId="1" fillId="4" fontId="2" numFmtId="164" xfId="0" applyBorder="1" applyFill="1" applyFont="1" applyNumberFormat="1"/>
    <xf borderId="1" fillId="3" fontId="3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/>
    </xf>
    <xf borderId="1" fillId="2" fontId="2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right" readingOrder="0"/>
    </xf>
    <xf borderId="1" fillId="4" fontId="3" numFmtId="0" xfId="0" applyAlignment="1" applyBorder="1" applyFill="1" applyFont="1">
      <alignment horizontal="center"/>
    </xf>
    <xf borderId="1" fillId="4" fontId="2" numFmtId="0" xfId="0" applyBorder="1" applyFill="1" applyFont="1"/>
    <xf borderId="1" fillId="4" fontId="2" numFmtId="165" xfId="0" applyAlignment="1" applyBorder="1" applyFill="1" applyFont="1" applyNumberFormat="1">
      <alignment horizontal="center" readingOrder="0"/>
    </xf>
    <xf borderId="1" fillId="14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 readingOrder="0"/>
    </xf>
    <xf borderId="1" fillId="4" fontId="2" numFmtId="164" xfId="0" applyAlignment="1" applyBorder="1" applyFill="1" applyFont="1" applyNumberFormat="1">
      <alignment horizontal="right" readingOrder="0"/>
    </xf>
    <xf borderId="1" fillId="12" fontId="2" numFmtId="0" xfId="0" applyAlignment="1" applyBorder="1" applyFill="1" applyFont="1">
      <alignment horizontal="center"/>
    </xf>
    <xf borderId="1" fillId="13" fontId="2" numFmtId="0" xfId="0" applyAlignment="1" applyBorder="1" applyFill="1" applyFont="1">
      <alignment horizontal="center" readingOrder="0"/>
    </xf>
    <xf borderId="1" fillId="13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5" fillId="5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/>
    </xf>
    <xf borderId="1" fillId="5" fontId="3" numFmtId="164" xfId="0" applyAlignment="1" applyBorder="1" applyFill="1" applyFont="1" applyNumberFormat="1">
      <alignment horizontal="center"/>
    </xf>
    <xf borderId="0" fillId="0" fontId="3" numFmtId="0" xfId="0" applyFont="1"/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readingOrder="0" vertical="center"/>
    </xf>
    <xf borderId="1" fillId="8" fontId="3" numFmtId="0" xfId="0" applyAlignment="1" applyBorder="1" applyFill="1" applyFont="1">
      <alignment horizontal="left" readingOrder="0"/>
    </xf>
    <xf borderId="1" fillId="8" fontId="3" numFmtId="0" xfId="0" applyAlignment="1" applyBorder="1" applyFill="1" applyFont="1">
      <alignment horizontal="center"/>
    </xf>
    <xf borderId="1" fillId="9" fontId="3" numFmtId="0" xfId="0" applyAlignment="1" applyBorder="1" applyFill="1" applyFont="1">
      <alignment horizontal="left" readingOrder="0"/>
    </xf>
    <xf borderId="1" fillId="9" fontId="3" numFmtId="0" xfId="0" applyAlignment="1" applyBorder="1" applyFill="1" applyFont="1">
      <alignment horizontal="center"/>
    </xf>
    <xf borderId="1" fillId="2" fontId="3" numFmtId="0" xfId="0" applyAlignment="1" applyBorder="1" applyFill="1" applyFont="1">
      <alignment horizontal="left" readingOrder="0"/>
    </xf>
    <xf borderId="1" fillId="2" fontId="3" numFmtId="0" xfId="0" applyAlignment="1" applyBorder="1" applyFill="1" applyFont="1">
      <alignment horizontal="center"/>
    </xf>
    <xf borderId="1" fillId="10" fontId="3" numFmtId="0" xfId="0" applyAlignment="1" applyBorder="1" applyFill="1" applyFont="1">
      <alignment horizontal="left" readingOrder="0"/>
    </xf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left" readingOrder="0"/>
    </xf>
    <xf borderId="1" fillId="11" fontId="3" numFmtId="0" xfId="0" applyBorder="1" applyFill="1" applyFont="1"/>
    <xf borderId="1" fillId="12" fontId="3" numFmtId="0" xfId="0" applyAlignment="1" applyBorder="1" applyFill="1" applyFont="1">
      <alignment horizontal="left" readingOrder="0"/>
    </xf>
    <xf borderId="1" fillId="12" fontId="3" numFmtId="0" xfId="0" applyBorder="1" applyFill="1" applyFont="1"/>
    <xf borderId="1" fillId="13" fontId="3" numFmtId="0" xfId="0" applyAlignment="1" applyBorder="1" applyFill="1" applyFont="1">
      <alignment horizontal="left" readingOrder="0"/>
    </xf>
    <xf borderId="1" fillId="13" fontId="3" numFmtId="0" xfId="0" applyBorder="1" applyFill="1" applyFont="1"/>
    <xf borderId="1" fillId="3" fontId="3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horizontal="center"/>
    </xf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228600</xdr:colOff>
      <xdr:row>0</xdr:row>
      <xdr:rowOff>9525</xdr:rowOff>
    </xdr:from>
    <xdr:ext cx="8791575" cy="413385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21</xdr:row>
      <xdr:rowOff>123825</xdr:rowOff>
    </xdr:from>
    <xdr:ext cx="8839200" cy="3076575"/>
    <xdr:pic>
      <xdr:nvPicPr>
        <xdr:cNvPr id="0" name="image1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17</xdr:row>
      <xdr:rowOff>114300</xdr:rowOff>
    </xdr:from>
    <xdr:ext cx="4876800" cy="4352925"/>
    <xdr:pic>
      <xdr:nvPicPr>
        <xdr:cNvPr id="0" name="image3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13"/>
  </cols>
  <sheetData>
    <row r="1">
      <c r="A1" s="1" t="s">
        <v>0</v>
      </c>
      <c r="B1" s="3"/>
      <c r="C1" s="3"/>
      <c r="D1" s="3"/>
      <c r="E1" s="3"/>
    </row>
    <row r="3">
      <c r="A3" s="5" t="s">
        <v>5</v>
      </c>
    </row>
    <row r="4">
      <c r="A4" s="6" t="s">
        <v>9</v>
      </c>
      <c r="B4" s="6" t="s">
        <v>10</v>
      </c>
      <c r="C4" s="6" t="s">
        <v>11</v>
      </c>
      <c r="D4" s="6" t="s">
        <v>14</v>
      </c>
      <c r="E4" s="6" t="s">
        <v>16</v>
      </c>
    </row>
    <row r="5">
      <c r="A5" s="9">
        <v>1.0</v>
      </c>
      <c r="B5" s="11" t="s">
        <v>22</v>
      </c>
      <c r="C5" s="9">
        <v>1.0</v>
      </c>
      <c r="D5" s="16">
        <v>173862.0</v>
      </c>
      <c r="E5" s="22">
        <f t="shared" ref="E5:E27" si="1">D5*C5</f>
        <v>173862</v>
      </c>
    </row>
    <row r="6">
      <c r="A6" s="9">
        <f t="shared" ref="A6:A27" si="2">A5+1</f>
        <v>2</v>
      </c>
      <c r="B6" s="11" t="s">
        <v>35</v>
      </c>
      <c r="C6" s="9">
        <v>2.0</v>
      </c>
      <c r="D6" s="16">
        <v>93797.0</v>
      </c>
      <c r="E6" s="22">
        <f t="shared" si="1"/>
        <v>187594</v>
      </c>
    </row>
    <row r="7">
      <c r="A7" s="9">
        <f t="shared" si="2"/>
        <v>3</v>
      </c>
      <c r="B7" s="11" t="s">
        <v>39</v>
      </c>
      <c r="C7" s="9">
        <v>2.0</v>
      </c>
      <c r="D7" s="16">
        <v>29685.0</v>
      </c>
      <c r="E7" s="22">
        <f t="shared" si="1"/>
        <v>59370</v>
      </c>
    </row>
    <row r="8">
      <c r="A8" s="9">
        <f t="shared" si="2"/>
        <v>4</v>
      </c>
      <c r="B8" s="11" t="s">
        <v>39</v>
      </c>
      <c r="C8" s="9">
        <v>2.0</v>
      </c>
      <c r="D8" s="16">
        <v>10550.0</v>
      </c>
      <c r="E8" s="22">
        <f t="shared" si="1"/>
        <v>21100</v>
      </c>
    </row>
    <row r="9">
      <c r="A9" s="9">
        <f t="shared" si="2"/>
        <v>5</v>
      </c>
      <c r="B9" s="11" t="s">
        <v>39</v>
      </c>
      <c r="C9" s="9">
        <v>3.0</v>
      </c>
      <c r="D9" s="16">
        <v>10906.0</v>
      </c>
      <c r="E9" s="22">
        <f t="shared" si="1"/>
        <v>32718</v>
      </c>
    </row>
    <row r="10">
      <c r="A10" s="9">
        <f t="shared" si="2"/>
        <v>6</v>
      </c>
      <c r="B10" s="11" t="s">
        <v>39</v>
      </c>
      <c r="C10" s="9">
        <v>3.0</v>
      </c>
      <c r="D10" s="27">
        <f>49000/C10</f>
        <v>16333.33333</v>
      </c>
      <c r="E10" s="22">
        <f t="shared" si="1"/>
        <v>49000</v>
      </c>
    </row>
    <row r="11">
      <c r="A11" s="9">
        <f t="shared" si="2"/>
        <v>7</v>
      </c>
      <c r="B11" s="11" t="s">
        <v>50</v>
      </c>
      <c r="C11" s="9">
        <v>1.0</v>
      </c>
      <c r="D11" s="27">
        <v>285600.0</v>
      </c>
      <c r="E11" s="22">
        <f t="shared" si="1"/>
        <v>285600</v>
      </c>
    </row>
    <row r="12">
      <c r="A12" s="9">
        <f t="shared" si="2"/>
        <v>8</v>
      </c>
      <c r="B12" s="11" t="s">
        <v>52</v>
      </c>
      <c r="C12" s="9">
        <v>5.0</v>
      </c>
      <c r="D12" s="27">
        <v>10300.0</v>
      </c>
      <c r="E12" s="22">
        <f t="shared" si="1"/>
        <v>51500</v>
      </c>
    </row>
    <row r="13">
      <c r="A13" s="9">
        <f t="shared" si="2"/>
        <v>9</v>
      </c>
      <c r="B13" s="11" t="s">
        <v>53</v>
      </c>
      <c r="C13" s="9">
        <v>1.0</v>
      </c>
      <c r="D13" s="16">
        <v>75000.0</v>
      </c>
      <c r="E13" s="22">
        <f t="shared" si="1"/>
        <v>75000</v>
      </c>
    </row>
    <row r="14">
      <c r="A14" s="9">
        <f t="shared" si="2"/>
        <v>10</v>
      </c>
      <c r="B14" s="11" t="s">
        <v>54</v>
      </c>
      <c r="C14" s="9">
        <v>1.0</v>
      </c>
      <c r="D14" s="27">
        <v>38800.0</v>
      </c>
      <c r="E14" s="22">
        <f t="shared" si="1"/>
        <v>38800</v>
      </c>
    </row>
    <row r="15">
      <c r="A15" s="9">
        <f t="shared" si="2"/>
        <v>11</v>
      </c>
      <c r="B15" s="11" t="s">
        <v>55</v>
      </c>
      <c r="C15" s="9">
        <v>2.0</v>
      </c>
      <c r="D15" s="16">
        <v>10350.0</v>
      </c>
      <c r="E15" s="22">
        <f t="shared" si="1"/>
        <v>20700</v>
      </c>
    </row>
    <row r="16">
      <c r="A16" s="9">
        <f t="shared" si="2"/>
        <v>12</v>
      </c>
      <c r="B16" s="11" t="s">
        <v>56</v>
      </c>
      <c r="C16" s="9">
        <v>1.0</v>
      </c>
      <c r="D16" s="16">
        <v>61300.0</v>
      </c>
      <c r="E16" s="22">
        <f t="shared" si="1"/>
        <v>61300</v>
      </c>
    </row>
    <row r="17">
      <c r="A17" s="9">
        <f t="shared" si="2"/>
        <v>13</v>
      </c>
      <c r="B17" s="11" t="s">
        <v>57</v>
      </c>
      <c r="C17" s="9">
        <v>1.0</v>
      </c>
      <c r="D17" s="16">
        <v>42700.0</v>
      </c>
      <c r="E17" s="22">
        <f t="shared" si="1"/>
        <v>42700</v>
      </c>
    </row>
    <row r="18">
      <c r="A18" s="9">
        <f t="shared" si="2"/>
        <v>14</v>
      </c>
      <c r="B18" s="11" t="s">
        <v>58</v>
      </c>
      <c r="C18" s="9">
        <v>1.0</v>
      </c>
      <c r="D18" s="16">
        <v>69700.0</v>
      </c>
      <c r="E18" s="22">
        <f t="shared" si="1"/>
        <v>69700</v>
      </c>
    </row>
    <row r="19">
      <c r="A19" s="9">
        <f t="shared" si="2"/>
        <v>15</v>
      </c>
      <c r="B19" s="11" t="s">
        <v>59</v>
      </c>
      <c r="C19" s="9">
        <v>1.0</v>
      </c>
      <c r="D19" s="16">
        <v>50000.0</v>
      </c>
      <c r="E19" s="22">
        <f t="shared" si="1"/>
        <v>50000</v>
      </c>
    </row>
    <row r="20">
      <c r="A20" s="13">
        <f t="shared" si="2"/>
        <v>16</v>
      </c>
      <c r="B20" s="18" t="s">
        <v>45</v>
      </c>
      <c r="C20" s="8">
        <v>1.0</v>
      </c>
      <c r="D20" s="37">
        <v>36922.0</v>
      </c>
      <c r="E20" s="39">
        <f t="shared" si="1"/>
        <v>36922</v>
      </c>
    </row>
    <row r="21">
      <c r="A21" s="13">
        <f t="shared" si="2"/>
        <v>17</v>
      </c>
      <c r="B21" s="18" t="s">
        <v>64</v>
      </c>
      <c r="C21" s="8">
        <v>1.0</v>
      </c>
      <c r="D21" s="37">
        <v>18400.0</v>
      </c>
      <c r="E21" s="39">
        <f t="shared" si="1"/>
        <v>18400</v>
      </c>
    </row>
    <row r="22">
      <c r="A22" s="13">
        <f t="shared" si="2"/>
        <v>18</v>
      </c>
      <c r="B22" s="18" t="s">
        <v>67</v>
      </c>
      <c r="C22" s="8">
        <v>1.0</v>
      </c>
      <c r="D22" s="37">
        <v>4922.0</v>
      </c>
      <c r="E22" s="39">
        <f t="shared" si="1"/>
        <v>4922</v>
      </c>
    </row>
    <row r="23">
      <c r="A23" s="13">
        <f t="shared" si="2"/>
        <v>19</v>
      </c>
      <c r="B23" s="18" t="s">
        <v>69</v>
      </c>
      <c r="C23" s="8">
        <v>7.0</v>
      </c>
      <c r="D23" s="37">
        <v>10000.0</v>
      </c>
      <c r="E23" s="39">
        <f t="shared" si="1"/>
        <v>70000</v>
      </c>
    </row>
    <row r="24">
      <c r="A24" s="13">
        <f t="shared" si="2"/>
        <v>20</v>
      </c>
      <c r="B24" s="18" t="s">
        <v>70</v>
      </c>
      <c r="C24" s="8">
        <v>1.0</v>
      </c>
      <c r="D24" s="37">
        <v>2500.0</v>
      </c>
      <c r="E24" s="39">
        <f t="shared" si="1"/>
        <v>2500</v>
      </c>
    </row>
    <row r="25">
      <c r="A25" s="13">
        <f t="shared" si="2"/>
        <v>21</v>
      </c>
      <c r="B25" s="18" t="s">
        <v>72</v>
      </c>
      <c r="C25" s="8">
        <v>1.0</v>
      </c>
      <c r="D25" s="37">
        <v>10500.0</v>
      </c>
      <c r="E25" s="39">
        <f t="shared" si="1"/>
        <v>10500</v>
      </c>
    </row>
    <row r="26">
      <c r="A26" s="13">
        <f t="shared" si="2"/>
        <v>22</v>
      </c>
      <c r="B26" s="18"/>
      <c r="C26" s="8"/>
      <c r="D26" s="37"/>
      <c r="E26" s="39">
        <f t="shared" si="1"/>
        <v>0</v>
      </c>
    </row>
    <row r="27">
      <c r="A27" s="13">
        <f t="shared" si="2"/>
        <v>23</v>
      </c>
      <c r="B27" s="18"/>
      <c r="C27" s="8"/>
      <c r="D27" s="37"/>
      <c r="E27" s="39">
        <f t="shared" si="1"/>
        <v>0</v>
      </c>
    </row>
    <row r="28">
      <c r="A28" s="36" t="s">
        <v>60</v>
      </c>
      <c r="B28" s="41"/>
      <c r="C28" s="41"/>
      <c r="D28" s="42"/>
      <c r="E28" s="38">
        <f>sum(E5:E27)</f>
        <v>1362188</v>
      </c>
    </row>
    <row r="30">
      <c r="A30" s="5" t="s">
        <v>76</v>
      </c>
    </row>
    <row r="31">
      <c r="A31" s="6" t="s">
        <v>9</v>
      </c>
      <c r="B31" s="6" t="s">
        <v>10</v>
      </c>
      <c r="C31" s="6" t="s">
        <v>11</v>
      </c>
      <c r="D31" s="6" t="s">
        <v>13</v>
      </c>
      <c r="E31" s="6" t="s">
        <v>14</v>
      </c>
      <c r="F31" s="6" t="s">
        <v>16</v>
      </c>
    </row>
    <row r="32">
      <c r="A32" s="8">
        <v>1.0</v>
      </c>
      <c r="B32" s="18" t="s">
        <v>21</v>
      </c>
      <c r="C32" s="8">
        <v>1.0</v>
      </c>
      <c r="D32" s="19" t="s">
        <v>68</v>
      </c>
      <c r="E32" s="20">
        <v>96492.0</v>
      </c>
      <c r="F32" s="23">
        <f t="shared" ref="F32:F60" si="3">E32*C32</f>
        <v>96492</v>
      </c>
    </row>
    <row r="33">
      <c r="A33" s="8">
        <f t="shared" ref="A33:A60" si="4">A32+1</f>
        <v>2</v>
      </c>
      <c r="B33" s="44" t="s">
        <v>38</v>
      </c>
      <c r="C33" s="8">
        <v>2.0</v>
      </c>
      <c r="D33" s="19" t="s">
        <v>25</v>
      </c>
      <c r="E33" s="20">
        <v>32500.0</v>
      </c>
      <c r="F33" s="23">
        <f t="shared" si="3"/>
        <v>65000</v>
      </c>
    </row>
    <row r="34">
      <c r="A34" s="8">
        <f t="shared" si="4"/>
        <v>3</v>
      </c>
      <c r="B34" s="18" t="s">
        <v>84</v>
      </c>
      <c r="C34" s="8">
        <v>1.0</v>
      </c>
      <c r="D34" s="19" t="s">
        <v>48</v>
      </c>
      <c r="E34" s="20">
        <v>17700.0</v>
      </c>
      <c r="F34" s="23">
        <f t="shared" si="3"/>
        <v>17700</v>
      </c>
    </row>
    <row r="35">
      <c r="A35" s="8">
        <f t="shared" si="4"/>
        <v>4</v>
      </c>
      <c r="B35" s="18" t="s">
        <v>86</v>
      </c>
      <c r="C35" s="8">
        <v>1.0</v>
      </c>
      <c r="D35" s="19" t="s">
        <v>87</v>
      </c>
      <c r="E35" s="20">
        <v>4580.0</v>
      </c>
      <c r="F35" s="23">
        <f t="shared" si="3"/>
        <v>4580</v>
      </c>
    </row>
    <row r="36">
      <c r="A36" s="8">
        <f t="shared" si="4"/>
        <v>5</v>
      </c>
      <c r="B36" s="44" t="s">
        <v>86</v>
      </c>
      <c r="C36" s="8">
        <v>1.0</v>
      </c>
      <c r="D36" s="8" t="s">
        <v>40</v>
      </c>
      <c r="E36" s="20">
        <v>7500.0</v>
      </c>
      <c r="F36" s="23">
        <f t="shared" si="3"/>
        <v>7500</v>
      </c>
    </row>
    <row r="37">
      <c r="A37" s="8">
        <f t="shared" si="4"/>
        <v>6</v>
      </c>
      <c r="B37" s="18" t="s">
        <v>79</v>
      </c>
      <c r="C37" s="8">
        <v>1.0</v>
      </c>
      <c r="D37" s="8" t="s">
        <v>89</v>
      </c>
      <c r="E37" s="20">
        <v>4909.0</v>
      </c>
      <c r="F37" s="23">
        <f t="shared" si="3"/>
        <v>4909</v>
      </c>
    </row>
    <row r="38">
      <c r="A38" s="8">
        <f t="shared" si="4"/>
        <v>7</v>
      </c>
      <c r="B38" s="18" t="s">
        <v>92</v>
      </c>
      <c r="C38" s="8">
        <v>1.0</v>
      </c>
      <c r="D38" s="8" t="s">
        <v>89</v>
      </c>
      <c r="E38" s="20">
        <v>5000.0</v>
      </c>
      <c r="F38" s="23">
        <f t="shared" si="3"/>
        <v>5000</v>
      </c>
    </row>
    <row r="39">
      <c r="A39" s="8">
        <f t="shared" si="4"/>
        <v>8</v>
      </c>
      <c r="B39" s="18" t="s">
        <v>94</v>
      </c>
      <c r="C39" s="8">
        <v>1.0</v>
      </c>
      <c r="D39" s="8" t="s">
        <v>73</v>
      </c>
      <c r="E39" s="20">
        <v>14543.0</v>
      </c>
      <c r="F39" s="23">
        <f t="shared" si="3"/>
        <v>14543</v>
      </c>
    </row>
    <row r="40">
      <c r="A40" s="8">
        <f t="shared" si="4"/>
        <v>9</v>
      </c>
      <c r="B40" s="44" t="s">
        <v>94</v>
      </c>
      <c r="C40" s="8">
        <v>1.0</v>
      </c>
      <c r="D40" s="19" t="s">
        <v>96</v>
      </c>
      <c r="E40" s="20">
        <v>26000.0</v>
      </c>
      <c r="F40" s="23">
        <f t="shared" si="3"/>
        <v>26000</v>
      </c>
    </row>
    <row r="41">
      <c r="A41" s="8">
        <f t="shared" si="4"/>
        <v>10</v>
      </c>
      <c r="B41" s="18" t="s">
        <v>31</v>
      </c>
      <c r="C41" s="8">
        <v>1.0</v>
      </c>
      <c r="D41" s="19" t="s">
        <v>97</v>
      </c>
      <c r="E41" s="20">
        <v>65705.0</v>
      </c>
      <c r="F41" s="23">
        <f t="shared" si="3"/>
        <v>65705</v>
      </c>
    </row>
    <row r="42">
      <c r="A42" s="8">
        <f t="shared" si="4"/>
        <v>11</v>
      </c>
      <c r="B42" s="18" t="s">
        <v>98</v>
      </c>
      <c r="C42" s="8">
        <v>1.0</v>
      </c>
      <c r="D42" s="8" t="s">
        <v>99</v>
      </c>
      <c r="E42" s="20">
        <v>12200.0</v>
      </c>
      <c r="F42" s="23">
        <f t="shared" si="3"/>
        <v>12200</v>
      </c>
    </row>
    <row r="43">
      <c r="A43" s="8">
        <f t="shared" si="4"/>
        <v>12</v>
      </c>
      <c r="B43" s="18" t="s">
        <v>100</v>
      </c>
      <c r="C43" s="8">
        <v>3.0</v>
      </c>
      <c r="D43" s="8" t="s">
        <v>101</v>
      </c>
      <c r="E43" s="20">
        <v>3500.0</v>
      </c>
      <c r="F43" s="23">
        <f t="shared" si="3"/>
        <v>10500</v>
      </c>
    </row>
    <row r="44">
      <c r="A44" s="8">
        <f t="shared" si="4"/>
        <v>13</v>
      </c>
      <c r="B44" s="44" t="s">
        <v>102</v>
      </c>
      <c r="C44" s="8">
        <v>2.0</v>
      </c>
      <c r="D44" s="8" t="s">
        <v>103</v>
      </c>
      <c r="E44" s="20">
        <v>10000.0</v>
      </c>
      <c r="F44" s="23">
        <f t="shared" si="3"/>
        <v>20000</v>
      </c>
    </row>
    <row r="45">
      <c r="A45" s="8">
        <f t="shared" si="4"/>
        <v>14</v>
      </c>
      <c r="B45" s="18" t="s">
        <v>104</v>
      </c>
      <c r="C45" s="8">
        <v>4.0</v>
      </c>
      <c r="D45" s="8" t="s">
        <v>105</v>
      </c>
      <c r="E45" s="20">
        <v>3950.0</v>
      </c>
      <c r="F45" s="23">
        <f t="shared" si="3"/>
        <v>15800</v>
      </c>
    </row>
    <row r="46">
      <c r="A46" s="8">
        <f t="shared" si="4"/>
        <v>15</v>
      </c>
      <c r="B46" s="18" t="s">
        <v>106</v>
      </c>
      <c r="C46" s="8">
        <v>5.0</v>
      </c>
      <c r="D46" s="8" t="s">
        <v>73</v>
      </c>
      <c r="E46" s="20">
        <v>6800.0</v>
      </c>
      <c r="F46" s="23">
        <f t="shared" si="3"/>
        <v>34000</v>
      </c>
    </row>
    <row r="47">
      <c r="A47" s="8">
        <f t="shared" si="4"/>
        <v>16</v>
      </c>
      <c r="B47" s="18" t="s">
        <v>63</v>
      </c>
      <c r="C47" s="8">
        <v>1.0</v>
      </c>
      <c r="D47" s="8" t="s">
        <v>108</v>
      </c>
      <c r="E47" s="20">
        <v>9500.0</v>
      </c>
      <c r="F47" s="23">
        <f t="shared" si="3"/>
        <v>9500</v>
      </c>
    </row>
    <row r="48">
      <c r="A48" s="8">
        <f t="shared" si="4"/>
        <v>17</v>
      </c>
      <c r="B48" s="18" t="s">
        <v>63</v>
      </c>
      <c r="C48" s="8">
        <v>1.0</v>
      </c>
      <c r="D48" s="8" t="s">
        <v>108</v>
      </c>
      <c r="E48" s="20">
        <v>9000.0</v>
      </c>
      <c r="F48" s="23">
        <f t="shared" si="3"/>
        <v>9000</v>
      </c>
    </row>
    <row r="49">
      <c r="A49" s="8">
        <f t="shared" si="4"/>
        <v>18</v>
      </c>
      <c r="B49" s="18" t="s">
        <v>110</v>
      </c>
      <c r="C49" s="8">
        <v>1.0</v>
      </c>
      <c r="D49" s="25"/>
      <c r="E49" s="20">
        <v>6000.0</v>
      </c>
      <c r="F49" s="23">
        <f t="shared" si="3"/>
        <v>6000</v>
      </c>
    </row>
    <row r="50">
      <c r="A50" s="8">
        <f t="shared" si="4"/>
        <v>19</v>
      </c>
      <c r="B50" s="18" t="s">
        <v>71</v>
      </c>
      <c r="C50" s="8">
        <v>1.0</v>
      </c>
      <c r="D50" s="8" t="s">
        <v>73</v>
      </c>
      <c r="E50" s="20">
        <v>5000.0</v>
      </c>
      <c r="F50" s="23">
        <f t="shared" si="3"/>
        <v>5000</v>
      </c>
    </row>
    <row r="51">
      <c r="A51" s="8">
        <f t="shared" si="4"/>
        <v>20</v>
      </c>
      <c r="B51" s="18" t="s">
        <v>110</v>
      </c>
      <c r="C51" s="8">
        <v>3.0</v>
      </c>
      <c r="D51" s="25"/>
      <c r="E51" s="20">
        <v>6500.0</v>
      </c>
      <c r="F51" s="23">
        <f t="shared" si="3"/>
        <v>19500</v>
      </c>
    </row>
    <row r="52">
      <c r="A52" s="8">
        <f t="shared" si="4"/>
        <v>21</v>
      </c>
      <c r="B52" s="44" t="s">
        <v>38</v>
      </c>
      <c r="C52" s="8">
        <v>1.0</v>
      </c>
      <c r="D52" s="19" t="s">
        <v>25</v>
      </c>
      <c r="E52" s="20">
        <v>36000.0</v>
      </c>
      <c r="F52" s="23">
        <f t="shared" si="3"/>
        <v>36000</v>
      </c>
    </row>
    <row r="53">
      <c r="A53" s="8">
        <f t="shared" si="4"/>
        <v>22</v>
      </c>
      <c r="B53" s="46"/>
      <c r="C53" s="25"/>
      <c r="D53" s="25"/>
      <c r="E53" s="23"/>
      <c r="F53" s="23">
        <f t="shared" si="3"/>
        <v>0</v>
      </c>
    </row>
    <row r="54">
      <c r="A54" s="8">
        <f t="shared" si="4"/>
        <v>23</v>
      </c>
      <c r="B54" s="46"/>
      <c r="C54" s="25"/>
      <c r="D54" s="25"/>
      <c r="E54" s="23"/>
      <c r="F54" s="23">
        <f t="shared" si="3"/>
        <v>0</v>
      </c>
    </row>
    <row r="55">
      <c r="A55" s="8">
        <f t="shared" si="4"/>
        <v>24</v>
      </c>
      <c r="B55" s="46"/>
      <c r="C55" s="25"/>
      <c r="D55" s="25"/>
      <c r="E55" s="23"/>
      <c r="F55" s="23">
        <f t="shared" si="3"/>
        <v>0</v>
      </c>
    </row>
    <row r="56">
      <c r="A56" s="8">
        <f t="shared" si="4"/>
        <v>25</v>
      </c>
      <c r="B56" s="46"/>
      <c r="C56" s="25"/>
      <c r="D56" s="25"/>
      <c r="E56" s="23"/>
      <c r="F56" s="23">
        <f t="shared" si="3"/>
        <v>0</v>
      </c>
    </row>
    <row r="57">
      <c r="A57" s="8">
        <f t="shared" si="4"/>
        <v>26</v>
      </c>
      <c r="B57" s="46"/>
      <c r="C57" s="25"/>
      <c r="D57" s="25"/>
      <c r="E57" s="23"/>
      <c r="F57" s="23">
        <f t="shared" si="3"/>
        <v>0</v>
      </c>
    </row>
    <row r="58">
      <c r="A58" s="8">
        <f t="shared" si="4"/>
        <v>27</v>
      </c>
      <c r="B58" s="46"/>
      <c r="C58" s="25"/>
      <c r="D58" s="25"/>
      <c r="E58" s="23"/>
      <c r="F58" s="23">
        <f t="shared" si="3"/>
        <v>0</v>
      </c>
    </row>
    <row r="59">
      <c r="A59" s="8">
        <f t="shared" si="4"/>
        <v>28</v>
      </c>
      <c r="B59" s="46"/>
      <c r="C59" s="25"/>
      <c r="D59" s="25"/>
      <c r="E59" s="23"/>
      <c r="F59" s="23">
        <f t="shared" si="3"/>
        <v>0</v>
      </c>
    </row>
    <row r="60">
      <c r="A60" s="8">
        <f t="shared" si="4"/>
        <v>29</v>
      </c>
      <c r="B60" s="46"/>
      <c r="C60" s="25"/>
      <c r="D60" s="25"/>
      <c r="E60" s="23"/>
      <c r="F60" s="23">
        <f t="shared" si="3"/>
        <v>0</v>
      </c>
    </row>
    <row r="61">
      <c r="A61" s="36" t="s">
        <v>60</v>
      </c>
      <c r="B61" s="32"/>
      <c r="C61" s="32"/>
      <c r="D61" s="32"/>
      <c r="E61" s="32"/>
      <c r="F61" s="38">
        <f>sum(F32:F60)</f>
        <v>484929</v>
      </c>
    </row>
    <row r="62">
      <c r="A62" s="36" t="s">
        <v>113</v>
      </c>
      <c r="B62" s="32"/>
      <c r="C62" s="32"/>
      <c r="D62" s="32"/>
      <c r="E62" s="32"/>
      <c r="F62" s="38">
        <f>F61+E28</f>
        <v>1847117</v>
      </c>
    </row>
  </sheetData>
  <mergeCells count="2">
    <mergeCell ref="A61:E61"/>
    <mergeCell ref="A62:E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5.13"/>
    <col customWidth="1" min="7" max="7" width="17.25"/>
  </cols>
  <sheetData>
    <row r="1">
      <c r="A1" s="1" t="s">
        <v>0</v>
      </c>
      <c r="B1" s="3"/>
      <c r="C1" s="3"/>
      <c r="D1" s="3"/>
      <c r="E1" s="3"/>
    </row>
    <row r="3">
      <c r="A3" s="5" t="s">
        <v>4</v>
      </c>
    </row>
    <row r="4">
      <c r="A4" s="6" t="s">
        <v>9</v>
      </c>
      <c r="B4" s="6" t="s">
        <v>10</v>
      </c>
      <c r="C4" s="6" t="s">
        <v>11</v>
      </c>
      <c r="D4" s="6" t="s">
        <v>13</v>
      </c>
      <c r="E4" s="6" t="s">
        <v>14</v>
      </c>
      <c r="F4" s="6" t="s">
        <v>16</v>
      </c>
      <c r="G4" s="7"/>
    </row>
    <row r="5">
      <c r="A5" s="8">
        <v>1.0</v>
      </c>
      <c r="B5" s="10" t="s">
        <v>21</v>
      </c>
      <c r="C5" s="13">
        <v>2.0</v>
      </c>
      <c r="D5" s="15" t="s">
        <v>23</v>
      </c>
      <c r="E5" s="17">
        <v>33000.0</v>
      </c>
      <c r="F5" s="23">
        <f t="shared" ref="F5:F15" si="1">E5*C5</f>
        <v>66000</v>
      </c>
      <c r="G5" s="24"/>
    </row>
    <row r="6">
      <c r="A6" s="8">
        <f t="shared" ref="A6:A15" si="2">A5+1</f>
        <v>2</v>
      </c>
      <c r="B6" s="10" t="s">
        <v>38</v>
      </c>
      <c r="C6" s="13">
        <v>2.0</v>
      </c>
      <c r="D6" s="15" t="s">
        <v>40</v>
      </c>
      <c r="E6" s="17">
        <v>17500.0</v>
      </c>
      <c r="F6" s="23">
        <f t="shared" si="1"/>
        <v>35000</v>
      </c>
      <c r="G6" s="24"/>
    </row>
    <row r="7">
      <c r="A7" s="8">
        <f t="shared" si="2"/>
        <v>3</v>
      </c>
      <c r="B7" s="10" t="s">
        <v>38</v>
      </c>
      <c r="C7" s="13">
        <v>2.0</v>
      </c>
      <c r="D7" s="15" t="s">
        <v>25</v>
      </c>
      <c r="E7" s="17">
        <v>32500.0</v>
      </c>
      <c r="F7" s="23">
        <f t="shared" si="1"/>
        <v>65000</v>
      </c>
      <c r="G7" s="24"/>
    </row>
    <row r="8">
      <c r="A8" s="8">
        <f t="shared" si="2"/>
        <v>4</v>
      </c>
      <c r="B8" s="10" t="s">
        <v>44</v>
      </c>
      <c r="C8" s="13">
        <v>1.0</v>
      </c>
      <c r="D8" s="15" t="s">
        <v>25</v>
      </c>
      <c r="E8" s="17">
        <v>36000.0</v>
      </c>
      <c r="F8" s="23">
        <f t="shared" si="1"/>
        <v>36000</v>
      </c>
      <c r="G8" s="24"/>
    </row>
    <row r="9">
      <c r="A9" s="8">
        <f t="shared" si="2"/>
        <v>5</v>
      </c>
      <c r="B9" s="10" t="s">
        <v>45</v>
      </c>
      <c r="C9" s="13">
        <v>1.0</v>
      </c>
      <c r="D9" s="13" t="s">
        <v>46</v>
      </c>
      <c r="E9" s="17">
        <v>25000.0</v>
      </c>
      <c r="F9" s="23">
        <f t="shared" si="1"/>
        <v>25000</v>
      </c>
      <c r="G9" s="24"/>
    </row>
    <row r="10">
      <c r="A10" s="8">
        <f t="shared" si="2"/>
        <v>6</v>
      </c>
      <c r="B10" s="10" t="s">
        <v>47</v>
      </c>
      <c r="C10" s="13">
        <v>1.0</v>
      </c>
      <c r="D10" s="13" t="s">
        <v>48</v>
      </c>
      <c r="E10" s="17">
        <v>26000.0</v>
      </c>
      <c r="F10" s="23">
        <f t="shared" si="1"/>
        <v>26000</v>
      </c>
      <c r="G10" s="24"/>
    </row>
    <row r="11">
      <c r="A11" s="8">
        <f t="shared" si="2"/>
        <v>7</v>
      </c>
      <c r="B11" s="10" t="s">
        <v>49</v>
      </c>
      <c r="C11" s="13">
        <v>1.0</v>
      </c>
      <c r="D11" s="13" t="s">
        <v>40</v>
      </c>
      <c r="E11" s="17">
        <v>9500.0</v>
      </c>
      <c r="F11" s="23">
        <f t="shared" si="1"/>
        <v>9500</v>
      </c>
      <c r="G11" s="24"/>
    </row>
    <row r="12">
      <c r="A12" s="8">
        <f t="shared" si="2"/>
        <v>8</v>
      </c>
      <c r="B12" s="10" t="s">
        <v>51</v>
      </c>
      <c r="C12" s="13">
        <v>5.0</v>
      </c>
      <c r="D12" s="13"/>
      <c r="E12" s="17">
        <v>6000.0</v>
      </c>
      <c r="F12" s="23">
        <f t="shared" si="1"/>
        <v>30000</v>
      </c>
      <c r="G12" s="24"/>
    </row>
    <row r="13">
      <c r="A13" s="13">
        <f t="shared" si="2"/>
        <v>9</v>
      </c>
      <c r="B13" s="10" t="s">
        <v>44</v>
      </c>
      <c r="C13" s="13">
        <v>1.0</v>
      </c>
      <c r="D13" s="15" t="s">
        <v>25</v>
      </c>
      <c r="E13" s="17">
        <v>36000.0</v>
      </c>
      <c r="F13" s="28">
        <f t="shared" si="1"/>
        <v>36000</v>
      </c>
      <c r="G13" s="29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13">
        <f t="shared" si="2"/>
        <v>10</v>
      </c>
      <c r="B14" s="10" t="s">
        <v>51</v>
      </c>
      <c r="C14" s="13">
        <v>1.0</v>
      </c>
      <c r="D14" s="13"/>
      <c r="E14" s="17">
        <v>6500.0</v>
      </c>
      <c r="F14" s="28">
        <f t="shared" si="1"/>
        <v>6500</v>
      </c>
      <c r="G14" s="29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13">
        <f t="shared" si="2"/>
        <v>11</v>
      </c>
      <c r="B15" s="10" t="s">
        <v>45</v>
      </c>
      <c r="C15" s="13">
        <v>1.0</v>
      </c>
      <c r="D15" s="13" t="s">
        <v>46</v>
      </c>
      <c r="E15" s="17">
        <v>25000.0</v>
      </c>
      <c r="F15" s="28">
        <f t="shared" si="1"/>
        <v>25000</v>
      </c>
      <c r="G15" s="29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13"/>
      <c r="B16" s="10"/>
      <c r="C16" s="13"/>
      <c r="D16" s="15"/>
      <c r="E16" s="17"/>
      <c r="F16" s="28"/>
      <c r="G16" s="29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6" t="s">
        <v>60</v>
      </c>
      <c r="B17" s="32"/>
      <c r="C17" s="32"/>
      <c r="D17" s="32"/>
      <c r="E17" s="32"/>
      <c r="F17" s="38">
        <f>sum(F5:F12)</f>
        <v>292500</v>
      </c>
      <c r="G17" s="40"/>
    </row>
    <row r="18">
      <c r="A18" s="5"/>
    </row>
    <row r="19">
      <c r="A19" s="5" t="s">
        <v>62</v>
      </c>
    </row>
    <row r="20">
      <c r="A20" s="6" t="s">
        <v>9</v>
      </c>
      <c r="B20" s="6" t="s">
        <v>10</v>
      </c>
      <c r="C20" s="6" t="s">
        <v>11</v>
      </c>
      <c r="D20" s="6" t="s">
        <v>13</v>
      </c>
      <c r="E20" s="6" t="s">
        <v>14</v>
      </c>
      <c r="F20" s="6" t="s">
        <v>16</v>
      </c>
      <c r="G20" s="7"/>
    </row>
    <row r="21">
      <c r="A21" s="8">
        <v>1.0</v>
      </c>
      <c r="B21" s="10" t="s">
        <v>21</v>
      </c>
      <c r="C21" s="13">
        <v>2.0</v>
      </c>
      <c r="D21" s="15" t="s">
        <v>68</v>
      </c>
      <c r="E21" s="17">
        <v>96492.0</v>
      </c>
      <c r="F21" s="23">
        <f t="shared" ref="F21:F30" si="3">E21*C21</f>
        <v>192984</v>
      </c>
      <c r="G21" s="40"/>
    </row>
    <row r="22">
      <c r="A22" s="8">
        <f t="shared" ref="A22:A30" si="4">A21+1</f>
        <v>2</v>
      </c>
      <c r="B22" s="10" t="s">
        <v>71</v>
      </c>
      <c r="C22" s="13">
        <v>2.0</v>
      </c>
      <c r="D22" s="13" t="s">
        <v>73</v>
      </c>
      <c r="E22" s="17">
        <v>5614.0</v>
      </c>
      <c r="F22" s="23">
        <f t="shared" si="3"/>
        <v>11228</v>
      </c>
      <c r="G22" s="40"/>
    </row>
    <row r="23">
      <c r="A23" s="8">
        <f t="shared" si="4"/>
        <v>3</v>
      </c>
      <c r="B23" s="10" t="s">
        <v>74</v>
      </c>
      <c r="C23" s="13">
        <v>1.0</v>
      </c>
      <c r="D23" s="13" t="s">
        <v>34</v>
      </c>
      <c r="E23" s="17">
        <v>8407.0</v>
      </c>
      <c r="F23" s="23">
        <f t="shared" si="3"/>
        <v>8407</v>
      </c>
      <c r="G23" s="40"/>
    </row>
    <row r="24">
      <c r="A24" s="8">
        <f t="shared" si="4"/>
        <v>4</v>
      </c>
      <c r="B24" s="10" t="s">
        <v>51</v>
      </c>
      <c r="C24" s="13">
        <v>6.0</v>
      </c>
      <c r="D24" s="13"/>
      <c r="E24" s="17">
        <v>6334.0</v>
      </c>
      <c r="F24" s="23">
        <f t="shared" si="3"/>
        <v>38004</v>
      </c>
      <c r="G24" s="40"/>
    </row>
    <row r="25">
      <c r="A25" s="8">
        <f t="shared" si="4"/>
        <v>5</v>
      </c>
      <c r="B25" s="10" t="s">
        <v>75</v>
      </c>
      <c r="C25" s="13">
        <v>1.0</v>
      </c>
      <c r="D25" s="13" t="s">
        <v>25</v>
      </c>
      <c r="E25" s="17">
        <v>9000.0</v>
      </c>
      <c r="F25" s="23">
        <f t="shared" si="3"/>
        <v>9000</v>
      </c>
      <c r="G25" s="40"/>
    </row>
    <row r="26">
      <c r="A26" s="8">
        <f t="shared" si="4"/>
        <v>6</v>
      </c>
      <c r="B26" s="10"/>
      <c r="C26" s="13"/>
      <c r="D26" s="13"/>
      <c r="E26" s="17"/>
      <c r="F26" s="23">
        <f t="shared" si="3"/>
        <v>0</v>
      </c>
      <c r="G26" s="40"/>
    </row>
    <row r="27">
      <c r="A27" s="8">
        <f t="shared" si="4"/>
        <v>7</v>
      </c>
      <c r="B27" s="10"/>
      <c r="C27" s="13"/>
      <c r="D27" s="43"/>
      <c r="E27" s="17"/>
      <c r="F27" s="23">
        <f t="shared" si="3"/>
        <v>0</v>
      </c>
      <c r="G27" s="40"/>
    </row>
    <row r="28">
      <c r="A28" s="8">
        <f t="shared" si="4"/>
        <v>8</v>
      </c>
      <c r="B28" s="10"/>
      <c r="C28" s="13"/>
      <c r="D28" s="13"/>
      <c r="E28" s="17"/>
      <c r="F28" s="23">
        <f t="shared" si="3"/>
        <v>0</v>
      </c>
      <c r="G28" s="40"/>
    </row>
    <row r="29">
      <c r="A29" s="8">
        <f t="shared" si="4"/>
        <v>9</v>
      </c>
      <c r="B29" s="10"/>
      <c r="C29" s="13"/>
      <c r="D29" s="43"/>
      <c r="E29" s="17"/>
      <c r="F29" s="23">
        <f t="shared" si="3"/>
        <v>0</v>
      </c>
      <c r="G29" s="40"/>
    </row>
    <row r="30">
      <c r="A30" s="8">
        <f t="shared" si="4"/>
        <v>10</v>
      </c>
      <c r="B30" s="10"/>
      <c r="C30" s="13"/>
      <c r="D30" s="15"/>
      <c r="E30" s="17"/>
      <c r="F30" s="23">
        <f t="shared" si="3"/>
        <v>0</v>
      </c>
      <c r="G30" s="40"/>
    </row>
    <row r="31">
      <c r="A31" s="36" t="s">
        <v>60</v>
      </c>
      <c r="B31" s="32"/>
      <c r="C31" s="32"/>
      <c r="D31" s="32"/>
      <c r="E31" s="32"/>
      <c r="F31" s="38">
        <f>sum(F21:F30)</f>
        <v>259623</v>
      </c>
      <c r="G31" s="40"/>
    </row>
    <row r="33">
      <c r="A33" s="5" t="s">
        <v>82</v>
      </c>
    </row>
    <row r="34">
      <c r="A34" s="6" t="s">
        <v>9</v>
      </c>
      <c r="B34" s="6" t="s">
        <v>10</v>
      </c>
      <c r="C34" s="6" t="s">
        <v>11</v>
      </c>
      <c r="D34" s="6" t="s">
        <v>13</v>
      </c>
      <c r="E34" s="6" t="s">
        <v>14</v>
      </c>
      <c r="F34" s="6" t="s">
        <v>16</v>
      </c>
      <c r="G34" s="7"/>
    </row>
    <row r="35">
      <c r="A35" s="8">
        <v>1.0</v>
      </c>
      <c r="B35" s="10" t="s">
        <v>45</v>
      </c>
      <c r="C35" s="13">
        <v>2.0</v>
      </c>
      <c r="D35" s="13" t="s">
        <v>83</v>
      </c>
      <c r="E35" s="17">
        <v>21200.0</v>
      </c>
      <c r="F35" s="23">
        <f t="shared" ref="F35:F45" si="5">E35*C35</f>
        <v>42400</v>
      </c>
      <c r="G35" s="40"/>
    </row>
    <row r="36">
      <c r="A36" s="8">
        <f t="shared" ref="A36:A45" si="6">A35+1</f>
        <v>2</v>
      </c>
      <c r="B36" s="10" t="s">
        <v>64</v>
      </c>
      <c r="C36" s="13">
        <v>2.0</v>
      </c>
      <c r="D36" s="13" t="s">
        <v>85</v>
      </c>
      <c r="E36" s="17">
        <v>8200.0</v>
      </c>
      <c r="F36" s="23">
        <f t="shared" si="5"/>
        <v>16400</v>
      </c>
      <c r="G36" s="40"/>
    </row>
    <row r="37">
      <c r="A37" s="8">
        <f t="shared" si="6"/>
        <v>3</v>
      </c>
      <c r="B37" s="10" t="s">
        <v>44</v>
      </c>
      <c r="C37" s="13">
        <v>1.0</v>
      </c>
      <c r="D37" s="13" t="s">
        <v>88</v>
      </c>
      <c r="E37" s="17">
        <v>30500.0</v>
      </c>
      <c r="F37" s="23">
        <f t="shared" si="5"/>
        <v>30500</v>
      </c>
      <c r="G37" s="40"/>
    </row>
    <row r="38">
      <c r="A38" s="8">
        <f t="shared" si="6"/>
        <v>4</v>
      </c>
      <c r="B38" s="10" t="s">
        <v>21</v>
      </c>
      <c r="C38" s="13">
        <v>1.0</v>
      </c>
      <c r="D38" s="15" t="s">
        <v>68</v>
      </c>
      <c r="E38" s="17">
        <v>96492.0</v>
      </c>
      <c r="F38" s="23">
        <f t="shared" si="5"/>
        <v>96492</v>
      </c>
      <c r="G38" s="40"/>
    </row>
    <row r="39">
      <c r="A39" s="8">
        <f t="shared" si="6"/>
        <v>5</v>
      </c>
      <c r="B39" s="10" t="s">
        <v>90</v>
      </c>
      <c r="C39" s="13">
        <v>1.0</v>
      </c>
      <c r="D39" s="13" t="s">
        <v>91</v>
      </c>
      <c r="E39" s="17">
        <v>15050.0</v>
      </c>
      <c r="F39" s="23">
        <f t="shared" si="5"/>
        <v>15050</v>
      </c>
      <c r="G39" s="40"/>
    </row>
    <row r="40">
      <c r="A40" s="8">
        <f t="shared" si="6"/>
        <v>6</v>
      </c>
      <c r="B40" s="10" t="s">
        <v>95</v>
      </c>
      <c r="C40" s="13">
        <v>1.0</v>
      </c>
      <c r="D40" s="43"/>
      <c r="E40" s="17">
        <v>3000.0</v>
      </c>
      <c r="F40" s="23">
        <f t="shared" si="5"/>
        <v>3000</v>
      </c>
      <c r="G40" s="40"/>
    </row>
    <row r="41">
      <c r="A41" s="8">
        <f t="shared" si="6"/>
        <v>7</v>
      </c>
      <c r="B41" s="46"/>
      <c r="C41" s="25"/>
      <c r="D41" s="25"/>
      <c r="E41" s="23"/>
      <c r="F41" s="23">
        <f t="shared" si="5"/>
        <v>0</v>
      </c>
      <c r="G41" s="40"/>
    </row>
    <row r="42">
      <c r="A42" s="8">
        <f t="shared" si="6"/>
        <v>8</v>
      </c>
      <c r="B42" s="46"/>
      <c r="C42" s="25"/>
      <c r="D42" s="25"/>
      <c r="E42" s="23"/>
      <c r="F42" s="23">
        <f t="shared" si="5"/>
        <v>0</v>
      </c>
      <c r="G42" s="40"/>
    </row>
    <row r="43">
      <c r="A43" s="8">
        <f t="shared" si="6"/>
        <v>9</v>
      </c>
      <c r="B43" s="46"/>
      <c r="C43" s="25"/>
      <c r="D43" s="25"/>
      <c r="E43" s="23"/>
      <c r="F43" s="23">
        <f t="shared" si="5"/>
        <v>0</v>
      </c>
      <c r="G43" s="40"/>
    </row>
    <row r="44">
      <c r="A44" s="8">
        <f t="shared" si="6"/>
        <v>10</v>
      </c>
      <c r="B44" s="46"/>
      <c r="C44" s="25"/>
      <c r="D44" s="25"/>
      <c r="E44" s="23"/>
      <c r="F44" s="23">
        <f t="shared" si="5"/>
        <v>0</v>
      </c>
      <c r="G44" s="40"/>
    </row>
    <row r="45">
      <c r="A45" s="8">
        <f t="shared" si="6"/>
        <v>11</v>
      </c>
      <c r="B45" s="46"/>
      <c r="C45" s="25"/>
      <c r="D45" s="25"/>
      <c r="E45" s="23"/>
      <c r="F45" s="23">
        <f t="shared" si="5"/>
        <v>0</v>
      </c>
      <c r="G45" s="40"/>
    </row>
    <row r="46">
      <c r="A46" s="36" t="s">
        <v>60</v>
      </c>
      <c r="B46" s="32"/>
      <c r="C46" s="32"/>
      <c r="D46" s="32"/>
      <c r="E46" s="32"/>
      <c r="F46" s="38">
        <f>sum(F35:F45)</f>
        <v>203842</v>
      </c>
      <c r="G46" s="40"/>
    </row>
    <row r="48">
      <c r="A48" s="5" t="s">
        <v>107</v>
      </c>
    </row>
    <row r="49">
      <c r="A49" s="6" t="s">
        <v>9</v>
      </c>
      <c r="B49" s="6" t="s">
        <v>10</v>
      </c>
      <c r="C49" s="6" t="s">
        <v>11</v>
      </c>
      <c r="D49" s="6" t="s">
        <v>13</v>
      </c>
      <c r="E49" s="6" t="s">
        <v>14</v>
      </c>
      <c r="F49" s="6" t="s">
        <v>16</v>
      </c>
    </row>
    <row r="50">
      <c r="A50" s="8">
        <v>1.0</v>
      </c>
      <c r="B50" s="10" t="s">
        <v>63</v>
      </c>
      <c r="C50" s="13">
        <v>1.0</v>
      </c>
      <c r="D50" s="13" t="s">
        <v>109</v>
      </c>
      <c r="E50" s="17">
        <v>9000.0</v>
      </c>
      <c r="F50" s="23">
        <f t="shared" ref="F50:F60" si="7">E50*C50</f>
        <v>9000</v>
      </c>
    </row>
    <row r="51">
      <c r="A51" s="8">
        <f t="shared" ref="A51:A60" si="8">A50+1</f>
        <v>2</v>
      </c>
      <c r="B51" s="10" t="s">
        <v>111</v>
      </c>
      <c r="C51" s="13">
        <v>1.0</v>
      </c>
      <c r="D51" s="13" t="s">
        <v>40</v>
      </c>
      <c r="E51" s="17">
        <v>9500.0</v>
      </c>
      <c r="F51" s="23">
        <f t="shared" si="7"/>
        <v>9500</v>
      </c>
    </row>
    <row r="52">
      <c r="A52" s="8">
        <f t="shared" si="8"/>
        <v>3</v>
      </c>
      <c r="B52" s="10" t="s">
        <v>71</v>
      </c>
      <c r="C52" s="13">
        <v>1.0</v>
      </c>
      <c r="D52" s="13" t="s">
        <v>73</v>
      </c>
      <c r="E52" s="17">
        <v>5000.0</v>
      </c>
      <c r="F52" s="23">
        <f t="shared" si="7"/>
        <v>5000</v>
      </c>
    </row>
    <row r="53">
      <c r="A53" s="8">
        <f t="shared" si="8"/>
        <v>4</v>
      </c>
      <c r="B53" s="10" t="s">
        <v>47</v>
      </c>
      <c r="C53" s="13">
        <v>1.0</v>
      </c>
      <c r="D53" s="15" t="s">
        <v>48</v>
      </c>
      <c r="E53" s="17">
        <v>26000.0</v>
      </c>
      <c r="F53" s="23">
        <f t="shared" si="7"/>
        <v>26000</v>
      </c>
    </row>
    <row r="54">
      <c r="A54" s="8">
        <f t="shared" si="8"/>
        <v>5</v>
      </c>
      <c r="B54" s="10" t="s">
        <v>112</v>
      </c>
      <c r="C54" s="13">
        <v>3.0</v>
      </c>
      <c r="D54" s="13" t="s">
        <v>25</v>
      </c>
      <c r="E54" s="17">
        <v>24500.0</v>
      </c>
      <c r="F54" s="23">
        <f t="shared" si="7"/>
        <v>73500</v>
      </c>
    </row>
    <row r="55">
      <c r="A55" s="8">
        <f t="shared" si="8"/>
        <v>6</v>
      </c>
      <c r="B55" s="18" t="s">
        <v>110</v>
      </c>
      <c r="C55" s="8">
        <v>5.0</v>
      </c>
      <c r="D55" s="25"/>
      <c r="E55" s="20">
        <v>6500.0</v>
      </c>
      <c r="F55" s="23">
        <f t="shared" si="7"/>
        <v>32500</v>
      </c>
    </row>
    <row r="56">
      <c r="A56" s="8">
        <f t="shared" si="8"/>
        <v>7</v>
      </c>
      <c r="B56" s="46"/>
      <c r="C56" s="25"/>
      <c r="D56" s="25"/>
      <c r="E56" s="23"/>
      <c r="F56" s="23">
        <f t="shared" si="7"/>
        <v>0</v>
      </c>
    </row>
    <row r="57">
      <c r="A57" s="8">
        <f t="shared" si="8"/>
        <v>8</v>
      </c>
      <c r="B57" s="46"/>
      <c r="C57" s="25"/>
      <c r="D57" s="25"/>
      <c r="E57" s="23"/>
      <c r="F57" s="23">
        <f t="shared" si="7"/>
        <v>0</v>
      </c>
    </row>
    <row r="58">
      <c r="A58" s="8">
        <f t="shared" si="8"/>
        <v>9</v>
      </c>
      <c r="B58" s="46"/>
      <c r="C58" s="25"/>
      <c r="D58" s="25"/>
      <c r="E58" s="23"/>
      <c r="F58" s="23">
        <f t="shared" si="7"/>
        <v>0</v>
      </c>
    </row>
    <row r="59">
      <c r="A59" s="8">
        <f t="shared" si="8"/>
        <v>10</v>
      </c>
      <c r="B59" s="46"/>
      <c r="C59" s="25"/>
      <c r="D59" s="25"/>
      <c r="E59" s="23"/>
      <c r="F59" s="23">
        <f t="shared" si="7"/>
        <v>0</v>
      </c>
    </row>
    <row r="60">
      <c r="A60" s="8">
        <f t="shared" si="8"/>
        <v>11</v>
      </c>
      <c r="B60" s="46"/>
      <c r="C60" s="25"/>
      <c r="D60" s="25"/>
      <c r="E60" s="23"/>
      <c r="F60" s="23">
        <f t="shared" si="7"/>
        <v>0</v>
      </c>
    </row>
    <row r="61">
      <c r="A61" s="36" t="s">
        <v>60</v>
      </c>
      <c r="B61" s="32"/>
      <c r="C61" s="32"/>
      <c r="D61" s="32"/>
      <c r="E61" s="32"/>
      <c r="F61" s="38">
        <f>sum(F50:F60)</f>
        <v>155500</v>
      </c>
    </row>
    <row r="63">
      <c r="A63" s="5" t="s">
        <v>114</v>
      </c>
    </row>
    <row r="64">
      <c r="A64" s="6" t="s">
        <v>9</v>
      </c>
      <c r="B64" s="6" t="s">
        <v>10</v>
      </c>
      <c r="C64" s="6" t="s">
        <v>11</v>
      </c>
      <c r="D64" s="6" t="s">
        <v>13</v>
      </c>
      <c r="E64" s="6" t="s">
        <v>14</v>
      </c>
      <c r="F64" s="6" t="s">
        <v>16</v>
      </c>
    </row>
    <row r="65">
      <c r="A65" s="8">
        <v>1.0</v>
      </c>
      <c r="B65" s="10" t="s">
        <v>45</v>
      </c>
      <c r="C65" s="13">
        <v>1.0</v>
      </c>
      <c r="D65" s="13" t="s">
        <v>46</v>
      </c>
      <c r="E65" s="17">
        <v>25000.0</v>
      </c>
      <c r="F65" s="23">
        <f t="shared" ref="F65:F75" si="9">E65*C65</f>
        <v>25000</v>
      </c>
    </row>
    <row r="66">
      <c r="A66" s="8">
        <f t="shared" ref="A66:A75" si="10">A65+1</f>
        <v>2</v>
      </c>
      <c r="B66" s="10" t="s">
        <v>112</v>
      </c>
      <c r="C66" s="13">
        <v>2.0</v>
      </c>
      <c r="D66" s="13" t="s">
        <v>25</v>
      </c>
      <c r="E66" s="17">
        <v>24500.0</v>
      </c>
      <c r="F66" s="23">
        <f t="shared" si="9"/>
        <v>49000</v>
      </c>
    </row>
    <row r="67">
      <c r="A67" s="8">
        <f t="shared" si="10"/>
        <v>3</v>
      </c>
      <c r="B67" s="10" t="s">
        <v>21</v>
      </c>
      <c r="C67" s="13">
        <v>1.0</v>
      </c>
      <c r="D67" s="13" t="s">
        <v>23</v>
      </c>
      <c r="E67" s="17">
        <v>33000.0</v>
      </c>
      <c r="F67" s="23">
        <f t="shared" si="9"/>
        <v>33000</v>
      </c>
    </row>
    <row r="68">
      <c r="A68" s="8">
        <f t="shared" si="10"/>
        <v>4</v>
      </c>
      <c r="B68" s="18" t="s">
        <v>110</v>
      </c>
      <c r="C68" s="8">
        <v>2.0</v>
      </c>
      <c r="D68" s="25"/>
      <c r="E68" s="20">
        <v>6500.0</v>
      </c>
      <c r="F68" s="23">
        <f t="shared" si="9"/>
        <v>13000</v>
      </c>
    </row>
    <row r="69">
      <c r="A69" s="8">
        <f t="shared" si="10"/>
        <v>5</v>
      </c>
      <c r="B69" s="10"/>
      <c r="C69" s="13"/>
      <c r="D69" s="13"/>
      <c r="E69" s="17"/>
      <c r="F69" s="23">
        <f t="shared" si="9"/>
        <v>0</v>
      </c>
    </row>
    <row r="70">
      <c r="A70" s="8">
        <f t="shared" si="10"/>
        <v>6</v>
      </c>
      <c r="B70" s="18"/>
      <c r="C70" s="8"/>
      <c r="D70" s="25"/>
      <c r="E70" s="20"/>
      <c r="F70" s="23">
        <f t="shared" si="9"/>
        <v>0</v>
      </c>
    </row>
    <row r="71">
      <c r="A71" s="8">
        <f t="shared" si="10"/>
        <v>7</v>
      </c>
      <c r="B71" s="46"/>
      <c r="C71" s="25"/>
      <c r="D71" s="25"/>
      <c r="E71" s="23"/>
      <c r="F71" s="23">
        <f t="shared" si="9"/>
        <v>0</v>
      </c>
    </row>
    <row r="72">
      <c r="A72" s="8">
        <f t="shared" si="10"/>
        <v>8</v>
      </c>
      <c r="B72" s="46"/>
      <c r="C72" s="25"/>
      <c r="D72" s="25"/>
      <c r="E72" s="23"/>
      <c r="F72" s="23">
        <f t="shared" si="9"/>
        <v>0</v>
      </c>
    </row>
    <row r="73">
      <c r="A73" s="8">
        <f t="shared" si="10"/>
        <v>9</v>
      </c>
      <c r="B73" s="46"/>
      <c r="C73" s="25"/>
      <c r="D73" s="25"/>
      <c r="E73" s="23"/>
      <c r="F73" s="23">
        <f t="shared" si="9"/>
        <v>0</v>
      </c>
    </row>
    <row r="74">
      <c r="A74" s="8">
        <f t="shared" si="10"/>
        <v>10</v>
      </c>
      <c r="B74" s="46"/>
      <c r="C74" s="25"/>
      <c r="D74" s="25"/>
      <c r="E74" s="23"/>
      <c r="F74" s="23">
        <f t="shared" si="9"/>
        <v>0</v>
      </c>
    </row>
    <row r="75">
      <c r="A75" s="8">
        <f t="shared" si="10"/>
        <v>11</v>
      </c>
      <c r="B75" s="46"/>
      <c r="C75" s="25"/>
      <c r="D75" s="25"/>
      <c r="E75" s="23"/>
      <c r="F75" s="23">
        <f t="shared" si="9"/>
        <v>0</v>
      </c>
    </row>
    <row r="76">
      <c r="A76" s="36" t="s">
        <v>60</v>
      </c>
      <c r="B76" s="32"/>
      <c r="C76" s="32"/>
      <c r="D76" s="32"/>
      <c r="E76" s="32"/>
      <c r="F76" s="38">
        <f>sum(F65:F75)</f>
        <v>120000</v>
      </c>
    </row>
    <row r="78">
      <c r="A78" s="5" t="s">
        <v>116</v>
      </c>
    </row>
    <row r="79">
      <c r="A79" s="6" t="s">
        <v>9</v>
      </c>
      <c r="B79" s="6" t="s">
        <v>10</v>
      </c>
      <c r="C79" s="6" t="s">
        <v>11</v>
      </c>
      <c r="D79" s="6" t="s">
        <v>13</v>
      </c>
      <c r="E79" s="6" t="s">
        <v>14</v>
      </c>
      <c r="F79" s="6" t="s">
        <v>16</v>
      </c>
    </row>
    <row r="80">
      <c r="A80" s="8">
        <v>1.0</v>
      </c>
      <c r="B80" s="10" t="s">
        <v>117</v>
      </c>
      <c r="C80" s="13">
        <v>12.0</v>
      </c>
      <c r="D80" s="13" t="s">
        <v>118</v>
      </c>
      <c r="E80" s="17">
        <v>7020.0</v>
      </c>
      <c r="F80" s="23">
        <f t="shared" ref="F80:F101" si="11">E80*C80</f>
        <v>84240</v>
      </c>
    </row>
    <row r="81">
      <c r="A81" s="8">
        <f t="shared" ref="A81:A102" si="12">A80+1</f>
        <v>2</v>
      </c>
      <c r="B81" s="10" t="s">
        <v>119</v>
      </c>
      <c r="C81" s="13">
        <v>10.0</v>
      </c>
      <c r="D81" s="13" t="s">
        <v>118</v>
      </c>
      <c r="E81" s="17">
        <v>7020.0</v>
      </c>
      <c r="F81" s="23">
        <f t="shared" si="11"/>
        <v>70200</v>
      </c>
    </row>
    <row r="82">
      <c r="A82" s="8">
        <f t="shared" si="12"/>
        <v>3</v>
      </c>
      <c r="B82" s="10" t="s">
        <v>120</v>
      </c>
      <c r="C82" s="13">
        <v>1.0</v>
      </c>
      <c r="D82" s="13" t="s">
        <v>96</v>
      </c>
      <c r="E82" s="17">
        <v>25250.0</v>
      </c>
      <c r="F82" s="23">
        <f t="shared" si="11"/>
        <v>25250</v>
      </c>
    </row>
    <row r="83">
      <c r="A83" s="8">
        <f t="shared" si="12"/>
        <v>4</v>
      </c>
      <c r="B83" s="18" t="s">
        <v>123</v>
      </c>
      <c r="C83" s="8">
        <v>4.0</v>
      </c>
      <c r="D83" s="8" t="s">
        <v>87</v>
      </c>
      <c r="E83" s="20">
        <v>4865.0</v>
      </c>
      <c r="F83" s="23">
        <f t="shared" si="11"/>
        <v>19460</v>
      </c>
    </row>
    <row r="84">
      <c r="A84" s="8">
        <f t="shared" si="12"/>
        <v>5</v>
      </c>
      <c r="B84" s="10" t="s">
        <v>124</v>
      </c>
      <c r="C84" s="13">
        <v>3.0</v>
      </c>
      <c r="D84" s="13" t="s">
        <v>125</v>
      </c>
      <c r="E84" s="17">
        <v>7850.0</v>
      </c>
      <c r="F84" s="23">
        <f t="shared" si="11"/>
        <v>23550</v>
      </c>
    </row>
    <row r="85">
      <c r="A85" s="8">
        <f t="shared" si="12"/>
        <v>6</v>
      </c>
      <c r="B85" s="18" t="s">
        <v>126</v>
      </c>
      <c r="C85" s="8">
        <v>1.0</v>
      </c>
      <c r="D85" s="25"/>
      <c r="E85" s="20">
        <v>6500.0</v>
      </c>
      <c r="F85" s="23">
        <f t="shared" si="11"/>
        <v>6500</v>
      </c>
    </row>
    <row r="86">
      <c r="A86" s="8">
        <f t="shared" si="12"/>
        <v>7</v>
      </c>
      <c r="B86" s="18" t="s">
        <v>20</v>
      </c>
      <c r="C86" s="8">
        <v>4.0</v>
      </c>
      <c r="D86" s="8" t="s">
        <v>129</v>
      </c>
      <c r="E86" s="20">
        <v>5500.0</v>
      </c>
      <c r="F86" s="23">
        <f t="shared" si="11"/>
        <v>22000</v>
      </c>
    </row>
    <row r="87">
      <c r="A87" s="8">
        <f t="shared" si="12"/>
        <v>8</v>
      </c>
      <c r="B87" s="18" t="s">
        <v>112</v>
      </c>
      <c r="C87" s="8">
        <v>5.0</v>
      </c>
      <c r="D87" s="8" t="s">
        <v>25</v>
      </c>
      <c r="E87" s="20">
        <v>24500.0</v>
      </c>
      <c r="F87" s="23">
        <f t="shared" si="11"/>
        <v>122500</v>
      </c>
    </row>
    <row r="88">
      <c r="A88" s="8">
        <f t="shared" si="12"/>
        <v>9</v>
      </c>
      <c r="B88" s="18" t="s">
        <v>130</v>
      </c>
      <c r="C88" s="8">
        <v>2.0</v>
      </c>
      <c r="D88" s="8" t="s">
        <v>25</v>
      </c>
      <c r="E88" s="20">
        <v>36000.0</v>
      </c>
      <c r="F88" s="23">
        <f t="shared" si="11"/>
        <v>72000</v>
      </c>
    </row>
    <row r="89">
      <c r="A89" s="8">
        <f t="shared" si="12"/>
        <v>10</v>
      </c>
      <c r="B89" s="18" t="s">
        <v>131</v>
      </c>
      <c r="C89" s="8">
        <v>2.0</v>
      </c>
      <c r="D89" s="8" t="s">
        <v>68</v>
      </c>
      <c r="E89" s="20">
        <v>96492.0</v>
      </c>
      <c r="F89" s="23">
        <f t="shared" si="11"/>
        <v>192984</v>
      </c>
    </row>
    <row r="90">
      <c r="A90" s="8">
        <f t="shared" si="12"/>
        <v>11</v>
      </c>
      <c r="B90" s="18" t="s">
        <v>71</v>
      </c>
      <c r="C90" s="8">
        <v>1.0</v>
      </c>
      <c r="D90" s="8" t="s">
        <v>132</v>
      </c>
      <c r="E90" s="20">
        <v>8834.0</v>
      </c>
      <c r="F90" s="23">
        <f t="shared" si="11"/>
        <v>8834</v>
      </c>
    </row>
    <row r="91">
      <c r="A91" s="8">
        <f t="shared" si="12"/>
        <v>12</v>
      </c>
      <c r="B91" s="18" t="s">
        <v>64</v>
      </c>
      <c r="C91" s="8">
        <v>1.0</v>
      </c>
      <c r="D91" s="25"/>
      <c r="E91" s="20">
        <v>18400.0</v>
      </c>
      <c r="F91" s="23">
        <f t="shared" si="11"/>
        <v>18400</v>
      </c>
    </row>
    <row r="92">
      <c r="A92" s="8">
        <f t="shared" si="12"/>
        <v>13</v>
      </c>
      <c r="B92" s="18" t="s">
        <v>133</v>
      </c>
      <c r="C92" s="8">
        <v>1.0</v>
      </c>
      <c r="D92" s="8" t="s">
        <v>48</v>
      </c>
      <c r="E92" s="20">
        <v>26000.0</v>
      </c>
      <c r="F92" s="23">
        <f t="shared" si="11"/>
        <v>26000</v>
      </c>
    </row>
    <row r="93">
      <c r="A93" s="8">
        <f t="shared" si="12"/>
        <v>14</v>
      </c>
      <c r="B93" s="18" t="s">
        <v>67</v>
      </c>
      <c r="C93" s="8">
        <v>1.0</v>
      </c>
      <c r="D93" s="8" t="s">
        <v>134</v>
      </c>
      <c r="E93" s="20">
        <v>22500.0</v>
      </c>
      <c r="F93" s="23">
        <f t="shared" si="11"/>
        <v>22500</v>
      </c>
    </row>
    <row r="94">
      <c r="A94" s="8">
        <f t="shared" si="12"/>
        <v>15</v>
      </c>
      <c r="B94" s="18" t="s">
        <v>45</v>
      </c>
      <c r="C94" s="8">
        <v>1.0</v>
      </c>
      <c r="D94" s="13" t="s">
        <v>46</v>
      </c>
      <c r="E94" s="17">
        <v>25000.0</v>
      </c>
      <c r="F94" s="23">
        <f t="shared" si="11"/>
        <v>25000</v>
      </c>
    </row>
    <row r="95">
      <c r="A95" s="8">
        <f t="shared" si="12"/>
        <v>16</v>
      </c>
      <c r="B95" s="18" t="s">
        <v>135</v>
      </c>
      <c r="C95" s="8">
        <v>2.0</v>
      </c>
      <c r="D95" s="8"/>
      <c r="E95" s="20">
        <v>1750.0</v>
      </c>
      <c r="F95" s="23">
        <f t="shared" si="11"/>
        <v>3500</v>
      </c>
    </row>
    <row r="96">
      <c r="A96" s="8">
        <f t="shared" si="12"/>
        <v>17</v>
      </c>
      <c r="B96" s="18" t="s">
        <v>136</v>
      </c>
      <c r="C96" s="8">
        <v>1.0</v>
      </c>
      <c r="D96" s="8" t="s">
        <v>137</v>
      </c>
      <c r="E96" s="20">
        <v>8000.0</v>
      </c>
      <c r="F96" s="23">
        <f t="shared" si="11"/>
        <v>8000</v>
      </c>
    </row>
    <row r="97">
      <c r="A97" s="8">
        <f t="shared" si="12"/>
        <v>18</v>
      </c>
      <c r="B97" s="18" t="s">
        <v>123</v>
      </c>
      <c r="C97" s="8">
        <v>1.0</v>
      </c>
      <c r="D97" s="8" t="s">
        <v>40</v>
      </c>
      <c r="E97" s="20">
        <v>9500.0</v>
      </c>
      <c r="F97" s="23">
        <f t="shared" si="11"/>
        <v>9500</v>
      </c>
    </row>
    <row r="98">
      <c r="A98" s="8">
        <f t="shared" si="12"/>
        <v>19</v>
      </c>
      <c r="B98" s="18" t="s">
        <v>45</v>
      </c>
      <c r="C98" s="8">
        <v>1.0</v>
      </c>
      <c r="D98" s="13" t="s">
        <v>138</v>
      </c>
      <c r="E98" s="17">
        <v>26000.0</v>
      </c>
      <c r="F98" s="23">
        <f t="shared" si="11"/>
        <v>26000</v>
      </c>
    </row>
    <row r="99">
      <c r="A99" s="8">
        <f t="shared" si="12"/>
        <v>20</v>
      </c>
      <c r="B99" s="46"/>
      <c r="C99" s="25"/>
      <c r="D99" s="25"/>
      <c r="E99" s="23"/>
      <c r="F99" s="23">
        <f t="shared" si="11"/>
        <v>0</v>
      </c>
    </row>
    <row r="100">
      <c r="A100" s="8">
        <f t="shared" si="12"/>
        <v>21</v>
      </c>
      <c r="B100" s="46"/>
      <c r="C100" s="25"/>
      <c r="D100" s="25"/>
      <c r="E100" s="23"/>
      <c r="F100" s="23">
        <f t="shared" si="11"/>
        <v>0</v>
      </c>
    </row>
    <row r="101">
      <c r="A101" s="8">
        <f t="shared" si="12"/>
        <v>22</v>
      </c>
      <c r="B101" s="46"/>
      <c r="C101" s="25"/>
      <c r="D101" s="25"/>
      <c r="E101" s="23"/>
      <c r="F101" s="23">
        <f t="shared" si="11"/>
        <v>0</v>
      </c>
    </row>
    <row r="102">
      <c r="A102" s="8">
        <f t="shared" si="12"/>
        <v>23</v>
      </c>
      <c r="B102" s="41"/>
      <c r="C102" s="41"/>
      <c r="D102" s="41"/>
      <c r="E102" s="41"/>
      <c r="F102" s="38">
        <f>sum(F80:F101)</f>
        <v>786418</v>
      </c>
    </row>
    <row r="104">
      <c r="A104" s="5" t="s">
        <v>139</v>
      </c>
    </row>
    <row r="105">
      <c r="A105" s="6" t="s">
        <v>9</v>
      </c>
      <c r="B105" s="6" t="s">
        <v>10</v>
      </c>
      <c r="C105" s="6" t="s">
        <v>11</v>
      </c>
      <c r="D105" s="6" t="s">
        <v>13</v>
      </c>
      <c r="E105" s="6" t="s">
        <v>14</v>
      </c>
      <c r="F105" s="6" t="s">
        <v>16</v>
      </c>
    </row>
    <row r="106">
      <c r="A106" s="8">
        <v>1.0</v>
      </c>
      <c r="B106" s="18" t="s">
        <v>71</v>
      </c>
      <c r="C106" s="8">
        <v>1.0</v>
      </c>
      <c r="D106" s="8" t="s">
        <v>140</v>
      </c>
      <c r="E106" s="20">
        <v>5614.0</v>
      </c>
      <c r="F106" s="23">
        <f t="shared" ref="F106:F119" si="13">E106*C106</f>
        <v>5614</v>
      </c>
    </row>
    <row r="107">
      <c r="A107" s="8">
        <f t="shared" ref="A107:A120" si="14">A106+1</f>
        <v>2</v>
      </c>
      <c r="B107" s="10" t="s">
        <v>130</v>
      </c>
      <c r="C107" s="13">
        <v>2.0</v>
      </c>
      <c r="D107" s="13">
        <v>200.0</v>
      </c>
      <c r="E107" s="17">
        <v>37860.0</v>
      </c>
      <c r="F107" s="23">
        <f t="shared" si="13"/>
        <v>75720</v>
      </c>
    </row>
    <row r="108">
      <c r="A108" s="8">
        <f t="shared" si="14"/>
        <v>3</v>
      </c>
      <c r="B108" s="18" t="s">
        <v>131</v>
      </c>
      <c r="C108" s="8">
        <v>2.0</v>
      </c>
      <c r="D108" s="8" t="s">
        <v>68</v>
      </c>
      <c r="E108" s="20">
        <v>96492.0</v>
      </c>
      <c r="F108" s="23">
        <f t="shared" si="13"/>
        <v>192984</v>
      </c>
    </row>
    <row r="109">
      <c r="A109" s="8">
        <f t="shared" si="14"/>
        <v>4</v>
      </c>
      <c r="B109" s="18" t="s">
        <v>123</v>
      </c>
      <c r="C109" s="8">
        <v>4.0</v>
      </c>
      <c r="D109" s="8" t="s">
        <v>87</v>
      </c>
      <c r="E109" s="20">
        <v>4865.0</v>
      </c>
      <c r="F109" s="23">
        <f t="shared" si="13"/>
        <v>19460</v>
      </c>
    </row>
    <row r="110">
      <c r="A110" s="8">
        <f t="shared" si="14"/>
        <v>5</v>
      </c>
      <c r="B110" s="10" t="s">
        <v>124</v>
      </c>
      <c r="C110" s="13">
        <v>3.0</v>
      </c>
      <c r="D110" s="13" t="s">
        <v>125</v>
      </c>
      <c r="E110" s="17">
        <v>7850.0</v>
      </c>
      <c r="F110" s="23">
        <f t="shared" si="13"/>
        <v>23550</v>
      </c>
    </row>
    <row r="111">
      <c r="A111" s="8">
        <f t="shared" si="14"/>
        <v>6</v>
      </c>
      <c r="B111" s="18" t="s">
        <v>112</v>
      </c>
      <c r="C111" s="8">
        <v>5.0</v>
      </c>
      <c r="D111" s="8" t="s">
        <v>25</v>
      </c>
      <c r="E111" s="20">
        <v>21745.0</v>
      </c>
      <c r="F111" s="23">
        <f t="shared" si="13"/>
        <v>108725</v>
      </c>
    </row>
    <row r="112">
      <c r="A112" s="8">
        <f t="shared" si="14"/>
        <v>7</v>
      </c>
      <c r="B112" s="10" t="s">
        <v>120</v>
      </c>
      <c r="C112" s="13">
        <v>1.0</v>
      </c>
      <c r="D112" s="8" t="s">
        <v>141</v>
      </c>
      <c r="E112" s="20">
        <v>45100.0</v>
      </c>
      <c r="F112" s="23">
        <f t="shared" si="13"/>
        <v>45100</v>
      </c>
    </row>
    <row r="113">
      <c r="A113" s="8">
        <f t="shared" si="14"/>
        <v>8</v>
      </c>
      <c r="B113" s="18" t="s">
        <v>142</v>
      </c>
      <c r="C113" s="8">
        <v>1.0</v>
      </c>
      <c r="D113" s="8" t="s">
        <v>143</v>
      </c>
      <c r="E113" s="20">
        <v>52000.0</v>
      </c>
      <c r="F113" s="23">
        <f t="shared" si="13"/>
        <v>52000</v>
      </c>
    </row>
    <row r="114">
      <c r="A114" s="8">
        <f t="shared" si="14"/>
        <v>9</v>
      </c>
      <c r="B114" s="10" t="s">
        <v>144</v>
      </c>
      <c r="C114" s="13">
        <v>13.0</v>
      </c>
      <c r="D114" s="13" t="s">
        <v>118</v>
      </c>
      <c r="E114" s="17">
        <v>7020.0</v>
      </c>
      <c r="F114" s="23">
        <f t="shared" si="13"/>
        <v>91260</v>
      </c>
    </row>
    <row r="115">
      <c r="A115" s="8">
        <f t="shared" si="14"/>
        <v>10</v>
      </c>
      <c r="B115" s="10" t="s">
        <v>119</v>
      </c>
      <c r="C115" s="13">
        <v>6.0</v>
      </c>
      <c r="D115" s="13" t="s">
        <v>118</v>
      </c>
      <c r="E115" s="17">
        <v>7020.0</v>
      </c>
      <c r="F115" s="23">
        <f t="shared" si="13"/>
        <v>42120</v>
      </c>
    </row>
    <row r="116">
      <c r="A116" s="8">
        <f t="shared" si="14"/>
        <v>11</v>
      </c>
      <c r="B116" s="18"/>
      <c r="C116" s="8"/>
      <c r="D116" s="8"/>
      <c r="E116" s="20"/>
      <c r="F116" s="23">
        <f t="shared" si="13"/>
        <v>0</v>
      </c>
    </row>
    <row r="117">
      <c r="A117" s="8">
        <f t="shared" si="14"/>
        <v>12</v>
      </c>
      <c r="B117" s="18"/>
      <c r="C117" s="8"/>
      <c r="D117" s="25"/>
      <c r="E117" s="20"/>
      <c r="F117" s="23">
        <f t="shared" si="13"/>
        <v>0</v>
      </c>
    </row>
    <row r="118">
      <c r="A118" s="8">
        <f t="shared" si="14"/>
        <v>13</v>
      </c>
      <c r="B118" s="18"/>
      <c r="C118" s="8"/>
      <c r="D118" s="8"/>
      <c r="E118" s="20"/>
      <c r="F118" s="23">
        <f t="shared" si="13"/>
        <v>0</v>
      </c>
    </row>
    <row r="119">
      <c r="A119" s="8">
        <f t="shared" si="14"/>
        <v>14</v>
      </c>
      <c r="B119" s="18"/>
      <c r="C119" s="8"/>
      <c r="D119" s="8"/>
      <c r="E119" s="20"/>
      <c r="F119" s="23">
        <f t="shared" si="13"/>
        <v>0</v>
      </c>
    </row>
    <row r="120">
      <c r="A120" s="8">
        <f t="shared" si="14"/>
        <v>15</v>
      </c>
      <c r="B120" s="41"/>
      <c r="C120" s="41"/>
      <c r="D120" s="41"/>
      <c r="E120" s="41"/>
      <c r="F120" s="38">
        <f>sum(F106:F119)</f>
        <v>656533</v>
      </c>
    </row>
  </sheetData>
  <mergeCells count="5">
    <mergeCell ref="A17:E17"/>
    <mergeCell ref="A31:E31"/>
    <mergeCell ref="A46:E46"/>
    <mergeCell ref="A61:E61"/>
    <mergeCell ref="A76:E7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14.88"/>
    <col customWidth="1" min="4" max="4" width="16.88"/>
    <col customWidth="1" min="5" max="5" width="16.25"/>
    <col customWidth="1" min="10" max="10" width="16.13"/>
  </cols>
  <sheetData>
    <row r="1">
      <c r="A1" s="2" t="s">
        <v>1</v>
      </c>
      <c r="B1" s="3"/>
      <c r="J1" s="4" t="s">
        <v>2</v>
      </c>
      <c r="K1" s="4" t="s">
        <v>6</v>
      </c>
    </row>
    <row r="2">
      <c r="K2" s="4" t="s">
        <v>7</v>
      </c>
    </row>
    <row r="3">
      <c r="A3" s="5" t="s">
        <v>3</v>
      </c>
      <c r="K3" s="4" t="s">
        <v>8</v>
      </c>
    </row>
    <row r="4">
      <c r="A4" s="6" t="s">
        <v>9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19</v>
      </c>
      <c r="K4" s="4" t="s">
        <v>20</v>
      </c>
    </row>
    <row r="5">
      <c r="A5" s="12">
        <v>1.0</v>
      </c>
      <c r="B5" s="14" t="s">
        <v>8</v>
      </c>
      <c r="C5" s="18" t="s">
        <v>24</v>
      </c>
      <c r="D5" s="8" t="s">
        <v>25</v>
      </c>
      <c r="E5" s="19" t="s">
        <v>26</v>
      </c>
      <c r="F5" s="20">
        <v>2358.0</v>
      </c>
      <c r="K5" s="4" t="s">
        <v>30</v>
      </c>
    </row>
    <row r="6">
      <c r="A6" s="21"/>
      <c r="B6" s="21"/>
      <c r="C6" s="18" t="s">
        <v>27</v>
      </c>
      <c r="D6" s="8" t="s">
        <v>28</v>
      </c>
      <c r="E6" s="8" t="s">
        <v>29</v>
      </c>
      <c r="F6" s="20">
        <v>465.0</v>
      </c>
      <c r="K6" s="4" t="s">
        <v>37</v>
      </c>
    </row>
    <row r="7">
      <c r="A7" s="21"/>
      <c r="B7" s="21"/>
      <c r="C7" s="18" t="s">
        <v>31</v>
      </c>
      <c r="D7" s="8" t="s">
        <v>32</v>
      </c>
      <c r="E7" s="8">
        <v>1.11</v>
      </c>
      <c r="F7" s="20">
        <v>166.5</v>
      </c>
      <c r="K7" s="4" t="s">
        <v>42</v>
      </c>
    </row>
    <row r="8">
      <c r="A8" s="21"/>
      <c r="B8" s="21"/>
      <c r="C8" s="18" t="s">
        <v>33</v>
      </c>
      <c r="D8" s="13" t="s">
        <v>34</v>
      </c>
      <c r="E8" s="13" t="s">
        <v>36</v>
      </c>
      <c r="F8" s="17">
        <v>234.0</v>
      </c>
    </row>
    <row r="9">
      <c r="A9" s="21"/>
      <c r="B9" s="21"/>
      <c r="C9" s="18" t="s">
        <v>41</v>
      </c>
      <c r="D9" s="25"/>
      <c r="E9" s="25"/>
      <c r="F9" s="20">
        <v>500.0</v>
      </c>
    </row>
    <row r="10">
      <c r="A10" s="21"/>
      <c r="B10" s="21"/>
      <c r="C10" s="18" t="s">
        <v>43</v>
      </c>
      <c r="D10" s="25"/>
      <c r="E10" s="25"/>
      <c r="F10" s="20">
        <v>500.0</v>
      </c>
    </row>
    <row r="11">
      <c r="A11" s="26"/>
      <c r="B11" s="26"/>
      <c r="C11" s="30">
        <f>sum(F5:F10)</f>
        <v>4223.5</v>
      </c>
      <c r="D11" s="32"/>
      <c r="E11" s="32"/>
      <c r="F11" s="33"/>
      <c r="G11" s="4">
        <v>8000.0</v>
      </c>
      <c r="H11" s="34">
        <f>G11-C11</f>
        <v>3776.5</v>
      </c>
      <c r="I11" s="34">
        <f>H11*9</f>
        <v>33988.5</v>
      </c>
    </row>
    <row r="12">
      <c r="A12" s="35">
        <v>2.0</v>
      </c>
      <c r="B12" s="14" t="s">
        <v>61</v>
      </c>
      <c r="C12" s="18" t="s">
        <v>24</v>
      </c>
      <c r="D12" s="8" t="s">
        <v>25</v>
      </c>
      <c r="E12" s="19" t="s">
        <v>26</v>
      </c>
      <c r="F12" s="20">
        <v>2358.0</v>
      </c>
    </row>
    <row r="13">
      <c r="A13" s="21"/>
      <c r="B13" s="21"/>
      <c r="C13" s="18" t="s">
        <v>27</v>
      </c>
      <c r="D13" s="8" t="s">
        <v>28</v>
      </c>
      <c r="E13" s="8" t="s">
        <v>29</v>
      </c>
      <c r="F13" s="20">
        <v>465.0</v>
      </c>
    </row>
    <row r="14">
      <c r="A14" s="21"/>
      <c r="B14" s="21"/>
      <c r="C14" s="18" t="s">
        <v>63</v>
      </c>
      <c r="D14" s="8" t="s">
        <v>65</v>
      </c>
      <c r="E14" s="8" t="s">
        <v>66</v>
      </c>
      <c r="F14" s="20">
        <v>499.0</v>
      </c>
    </row>
    <row r="15">
      <c r="A15" s="21"/>
      <c r="B15" s="21"/>
      <c r="C15" s="18" t="s">
        <v>33</v>
      </c>
      <c r="D15" s="13" t="s">
        <v>34</v>
      </c>
      <c r="E15" s="13" t="s">
        <v>36</v>
      </c>
      <c r="F15" s="17">
        <v>234.0</v>
      </c>
    </row>
    <row r="16">
      <c r="A16" s="21"/>
      <c r="B16" s="21"/>
      <c r="C16" s="18" t="s">
        <v>41</v>
      </c>
      <c r="D16" s="25"/>
      <c r="E16" s="25"/>
      <c r="F16" s="20">
        <v>500.0</v>
      </c>
    </row>
    <row r="17">
      <c r="A17" s="21"/>
      <c r="B17" s="21"/>
      <c r="C17" s="18" t="s">
        <v>43</v>
      </c>
      <c r="D17" s="25"/>
      <c r="E17" s="25"/>
      <c r="F17" s="20">
        <v>500.0</v>
      </c>
    </row>
    <row r="18">
      <c r="A18" s="26"/>
      <c r="B18" s="26"/>
      <c r="C18" s="30">
        <f>sum(F12:F17)</f>
        <v>4556</v>
      </c>
      <c r="D18" s="32"/>
      <c r="E18" s="32"/>
      <c r="F18" s="33"/>
      <c r="G18" s="4">
        <v>9000.0</v>
      </c>
      <c r="H18" s="34">
        <f>G18-C18</f>
        <v>4444</v>
      </c>
      <c r="I18" s="34">
        <f>H18*9</f>
        <v>39996</v>
      </c>
    </row>
    <row r="19">
      <c r="A19" s="12">
        <v>3.0</v>
      </c>
      <c r="B19" s="14" t="s">
        <v>6</v>
      </c>
      <c r="C19" s="18" t="s">
        <v>24</v>
      </c>
      <c r="D19" s="8" t="s">
        <v>25</v>
      </c>
      <c r="E19" s="19" t="s">
        <v>26</v>
      </c>
      <c r="F19" s="20">
        <v>2358.0</v>
      </c>
    </row>
    <row r="20">
      <c r="A20" s="21"/>
      <c r="B20" s="21"/>
      <c r="C20" s="18" t="s">
        <v>27</v>
      </c>
      <c r="D20" s="8" t="s">
        <v>28</v>
      </c>
      <c r="E20" s="8" t="s">
        <v>29</v>
      </c>
      <c r="F20" s="20">
        <v>465.0</v>
      </c>
    </row>
    <row r="21">
      <c r="A21" s="21"/>
      <c r="B21" s="21"/>
      <c r="C21" s="18" t="s">
        <v>77</v>
      </c>
      <c r="D21" s="13" t="s">
        <v>32</v>
      </c>
      <c r="E21" s="13" t="s">
        <v>78</v>
      </c>
      <c r="F21" s="17">
        <v>357.5</v>
      </c>
    </row>
    <row r="22">
      <c r="A22" s="21"/>
      <c r="B22" s="21"/>
      <c r="C22" s="18" t="s">
        <v>33</v>
      </c>
      <c r="D22" s="13" t="s">
        <v>34</v>
      </c>
      <c r="E22" s="13" t="s">
        <v>36</v>
      </c>
      <c r="F22" s="17">
        <v>234.0</v>
      </c>
    </row>
    <row r="23">
      <c r="A23" s="21"/>
      <c r="B23" s="21"/>
      <c r="C23" s="18" t="s">
        <v>79</v>
      </c>
      <c r="D23" s="8" t="s">
        <v>80</v>
      </c>
      <c r="E23" s="8" t="s">
        <v>81</v>
      </c>
      <c r="F23" s="20">
        <v>49.0</v>
      </c>
    </row>
    <row r="24">
      <c r="A24" s="21"/>
      <c r="B24" s="21"/>
      <c r="C24" s="18" t="s">
        <v>41</v>
      </c>
      <c r="D24" s="25"/>
      <c r="E24" s="25"/>
      <c r="F24" s="20">
        <v>500.0</v>
      </c>
    </row>
    <row r="25">
      <c r="A25" s="21"/>
      <c r="B25" s="21"/>
      <c r="C25" s="18" t="s">
        <v>43</v>
      </c>
      <c r="D25" s="25"/>
      <c r="E25" s="25"/>
      <c r="F25" s="20">
        <v>500.0</v>
      </c>
    </row>
    <row r="26">
      <c r="A26" s="26"/>
      <c r="B26" s="26"/>
      <c r="C26" s="30">
        <f>sum(F19:F25)</f>
        <v>4463.5</v>
      </c>
      <c r="D26" s="32"/>
      <c r="E26" s="32"/>
      <c r="F26" s="33"/>
      <c r="G26" s="4">
        <v>8000.0</v>
      </c>
      <c r="H26" s="34">
        <f>G26-C26</f>
        <v>3536.5</v>
      </c>
      <c r="I26" s="34">
        <f>H26*9</f>
        <v>31828.5</v>
      </c>
    </row>
    <row r="27">
      <c r="A27" s="12">
        <v>4.0</v>
      </c>
      <c r="B27" s="45" t="s">
        <v>93</v>
      </c>
      <c r="C27" s="18" t="s">
        <v>24</v>
      </c>
      <c r="D27" s="8" t="s">
        <v>25</v>
      </c>
      <c r="E27" s="19" t="s">
        <v>26</v>
      </c>
      <c r="F27" s="20">
        <v>2358.0</v>
      </c>
    </row>
    <row r="28">
      <c r="A28" s="21"/>
      <c r="B28" s="21"/>
      <c r="C28" s="18" t="s">
        <v>27</v>
      </c>
      <c r="D28" s="8" t="s">
        <v>28</v>
      </c>
      <c r="E28" s="8" t="s">
        <v>29</v>
      </c>
      <c r="F28" s="20">
        <v>465.0</v>
      </c>
    </row>
    <row r="29">
      <c r="A29" s="21"/>
      <c r="B29" s="21"/>
      <c r="C29" s="18" t="s">
        <v>77</v>
      </c>
      <c r="D29" s="13" t="s">
        <v>32</v>
      </c>
      <c r="E29" s="13" t="s">
        <v>78</v>
      </c>
      <c r="F29" s="17">
        <v>357.5</v>
      </c>
    </row>
    <row r="30">
      <c r="A30" s="21"/>
      <c r="B30" s="21"/>
      <c r="C30" s="18" t="s">
        <v>33</v>
      </c>
      <c r="D30" s="13" t="s">
        <v>34</v>
      </c>
      <c r="E30" s="13" t="s">
        <v>36</v>
      </c>
      <c r="F30" s="17">
        <v>234.0</v>
      </c>
    </row>
    <row r="31">
      <c r="A31" s="21"/>
      <c r="B31" s="21"/>
      <c r="C31" s="18" t="s">
        <v>79</v>
      </c>
      <c r="D31" s="8" t="s">
        <v>80</v>
      </c>
      <c r="E31" s="8" t="s">
        <v>81</v>
      </c>
      <c r="F31" s="20">
        <v>49.0</v>
      </c>
    </row>
    <row r="32">
      <c r="A32" s="21"/>
      <c r="B32" s="21"/>
      <c r="C32" s="18" t="s">
        <v>49</v>
      </c>
      <c r="D32" s="8" t="s">
        <v>34</v>
      </c>
      <c r="E32" s="8" t="s">
        <v>32</v>
      </c>
      <c r="F32" s="20">
        <v>935.0</v>
      </c>
    </row>
    <row r="33">
      <c r="A33" s="21"/>
      <c r="B33" s="21"/>
      <c r="C33" s="18" t="s">
        <v>41</v>
      </c>
      <c r="D33" s="25"/>
      <c r="E33" s="25"/>
      <c r="F33" s="20">
        <v>500.0</v>
      </c>
    </row>
    <row r="34">
      <c r="A34" s="21"/>
      <c r="B34" s="21"/>
      <c r="C34" s="18" t="s">
        <v>43</v>
      </c>
      <c r="D34" s="25"/>
      <c r="E34" s="25"/>
      <c r="F34" s="20">
        <v>500.0</v>
      </c>
    </row>
    <row r="35">
      <c r="A35" s="26"/>
      <c r="B35" s="26"/>
      <c r="C35" s="30">
        <f>sum(F27:F34)</f>
        <v>5398.5</v>
      </c>
      <c r="D35" s="32"/>
      <c r="E35" s="32"/>
      <c r="F35" s="33"/>
      <c r="G35" s="4">
        <v>9000.0</v>
      </c>
      <c r="H35" s="34">
        <f>G35-C35</f>
        <v>3601.5</v>
      </c>
      <c r="I35" s="34">
        <f>H35*9</f>
        <v>32413.5</v>
      </c>
    </row>
    <row r="36">
      <c r="A36" s="12">
        <v>5.0</v>
      </c>
      <c r="B36" s="45" t="s">
        <v>30</v>
      </c>
      <c r="C36" s="18" t="s">
        <v>24</v>
      </c>
      <c r="D36" s="8" t="s">
        <v>25</v>
      </c>
      <c r="E36" s="19" t="s">
        <v>26</v>
      </c>
      <c r="F36" s="20">
        <v>2358.0</v>
      </c>
    </row>
    <row r="37">
      <c r="A37" s="21"/>
      <c r="B37" s="21"/>
      <c r="C37" s="18" t="s">
        <v>27</v>
      </c>
      <c r="D37" s="8" t="s">
        <v>28</v>
      </c>
      <c r="E37" s="8" t="s">
        <v>29</v>
      </c>
      <c r="F37" s="20">
        <v>465.0</v>
      </c>
    </row>
    <row r="38">
      <c r="A38" s="21"/>
      <c r="B38" s="21"/>
      <c r="C38" s="18" t="s">
        <v>31</v>
      </c>
      <c r="D38" s="8" t="s">
        <v>32</v>
      </c>
      <c r="E38" s="8">
        <v>1.11</v>
      </c>
      <c r="F38" s="20">
        <v>166.5</v>
      </c>
    </row>
    <row r="39">
      <c r="A39" s="21"/>
      <c r="B39" s="21"/>
      <c r="C39" s="18" t="s">
        <v>33</v>
      </c>
      <c r="D39" s="13" t="s">
        <v>34</v>
      </c>
      <c r="E39" s="13" t="s">
        <v>36</v>
      </c>
      <c r="F39" s="17">
        <v>234.0</v>
      </c>
    </row>
    <row r="40">
      <c r="A40" s="21"/>
      <c r="B40" s="21"/>
      <c r="C40" s="18" t="s">
        <v>63</v>
      </c>
      <c r="D40" s="8" t="s">
        <v>65</v>
      </c>
      <c r="E40" s="8" t="s">
        <v>66</v>
      </c>
      <c r="F40" s="20">
        <v>499.0</v>
      </c>
    </row>
    <row r="41">
      <c r="A41" s="21"/>
      <c r="B41" s="21"/>
      <c r="C41" s="18" t="s">
        <v>41</v>
      </c>
      <c r="D41" s="25"/>
      <c r="E41" s="25"/>
      <c r="F41" s="20">
        <v>500.0</v>
      </c>
    </row>
    <row r="42">
      <c r="A42" s="21"/>
      <c r="B42" s="21"/>
      <c r="C42" s="18" t="s">
        <v>43</v>
      </c>
      <c r="D42" s="25"/>
      <c r="E42" s="25"/>
      <c r="F42" s="20">
        <v>500.0</v>
      </c>
    </row>
    <row r="43">
      <c r="A43" s="26"/>
      <c r="B43" s="26"/>
      <c r="C43" s="30">
        <f>sum(F36:F42)</f>
        <v>4722.5</v>
      </c>
      <c r="D43" s="32"/>
      <c r="E43" s="32"/>
      <c r="F43" s="33"/>
      <c r="G43" s="4">
        <v>9000.0</v>
      </c>
      <c r="H43" s="34">
        <f>G43-C43</f>
        <v>4277.5</v>
      </c>
      <c r="I43" s="34">
        <f>H43*9</f>
        <v>38497.5</v>
      </c>
    </row>
    <row r="44">
      <c r="A44" s="12">
        <v>6.0</v>
      </c>
      <c r="B44" s="45" t="s">
        <v>20</v>
      </c>
      <c r="C44" s="18" t="s">
        <v>24</v>
      </c>
      <c r="D44" s="8" t="s">
        <v>25</v>
      </c>
      <c r="E44" s="19" t="s">
        <v>26</v>
      </c>
      <c r="F44" s="20">
        <v>2358.0</v>
      </c>
    </row>
    <row r="45">
      <c r="A45" s="47"/>
      <c r="B45" s="48"/>
      <c r="C45" s="18" t="s">
        <v>27</v>
      </c>
      <c r="D45" s="8" t="s">
        <v>28</v>
      </c>
      <c r="E45" s="8" t="s">
        <v>29</v>
      </c>
      <c r="F45" s="20">
        <v>465.0</v>
      </c>
    </row>
    <row r="46">
      <c r="A46" s="47"/>
      <c r="B46" s="48"/>
      <c r="C46" s="18" t="s">
        <v>20</v>
      </c>
      <c r="D46" s="49"/>
      <c r="E46" s="49"/>
      <c r="F46" s="50">
        <v>667.0</v>
      </c>
    </row>
    <row r="47">
      <c r="A47" s="47"/>
      <c r="B47" s="48"/>
      <c r="C47" s="10" t="s">
        <v>71</v>
      </c>
      <c r="D47" s="49" t="s">
        <v>40</v>
      </c>
      <c r="E47" s="49" t="s">
        <v>115</v>
      </c>
      <c r="F47" s="51">
        <v>222.0</v>
      </c>
    </row>
    <row r="48">
      <c r="A48" s="47"/>
      <c r="B48" s="48"/>
      <c r="C48" s="18" t="s">
        <v>33</v>
      </c>
      <c r="D48" s="13" t="s">
        <v>34</v>
      </c>
      <c r="E48" s="13" t="s">
        <v>36</v>
      </c>
      <c r="F48" s="17">
        <v>234.0</v>
      </c>
    </row>
    <row r="49">
      <c r="A49" s="47"/>
      <c r="B49" s="48"/>
      <c r="C49" s="18" t="s">
        <v>84</v>
      </c>
      <c r="D49" s="52"/>
      <c r="E49" s="52"/>
      <c r="F49" s="51">
        <v>300.0</v>
      </c>
    </row>
    <row r="50">
      <c r="A50" s="47"/>
      <c r="B50" s="48"/>
      <c r="C50" s="18" t="s">
        <v>41</v>
      </c>
      <c r="D50" s="25"/>
      <c r="E50" s="25"/>
      <c r="F50" s="20">
        <v>500.0</v>
      </c>
    </row>
    <row r="51">
      <c r="A51" s="47"/>
      <c r="B51" s="48"/>
      <c r="C51" s="18" t="s">
        <v>43</v>
      </c>
      <c r="D51" s="25"/>
      <c r="E51" s="25"/>
      <c r="F51" s="20">
        <v>500.0</v>
      </c>
    </row>
    <row r="52">
      <c r="A52" s="53"/>
      <c r="B52" s="54"/>
      <c r="C52" s="30">
        <f>sum(F44:F51)</f>
        <v>5246</v>
      </c>
      <c r="D52" s="32"/>
      <c r="E52" s="32"/>
      <c r="F52" s="33"/>
      <c r="G52" s="4">
        <v>9000.0</v>
      </c>
      <c r="H52" s="34">
        <f>G52-C52</f>
        <v>3754</v>
      </c>
      <c r="I52" s="34">
        <f>H52*9</f>
        <v>33786</v>
      </c>
    </row>
    <row r="53">
      <c r="A53" s="12">
        <v>7.0</v>
      </c>
      <c r="B53" s="45" t="s">
        <v>42</v>
      </c>
      <c r="C53" s="18" t="s">
        <v>24</v>
      </c>
      <c r="D53" s="8" t="s">
        <v>25</v>
      </c>
      <c r="E53" s="19" t="s">
        <v>26</v>
      </c>
      <c r="F53" s="20">
        <v>2358.0</v>
      </c>
    </row>
    <row r="54">
      <c r="A54" s="47"/>
      <c r="B54" s="48"/>
      <c r="C54" s="18" t="s">
        <v>27</v>
      </c>
      <c r="D54" s="8" t="s">
        <v>28</v>
      </c>
      <c r="E54" s="8" t="s">
        <v>29</v>
      </c>
      <c r="F54" s="20">
        <v>465.0</v>
      </c>
    </row>
    <row r="55">
      <c r="A55" s="47"/>
      <c r="B55" s="48"/>
      <c r="C55" s="18" t="s">
        <v>20</v>
      </c>
      <c r="D55" s="49"/>
      <c r="E55" s="49"/>
      <c r="F55" s="50">
        <v>667.0</v>
      </c>
    </row>
    <row r="56">
      <c r="A56" s="47"/>
      <c r="B56" s="48"/>
      <c r="C56" s="10" t="s">
        <v>71</v>
      </c>
      <c r="D56" s="49" t="s">
        <v>121</v>
      </c>
      <c r="E56" s="49" t="s">
        <v>122</v>
      </c>
      <c r="F56" s="51">
        <v>111.0</v>
      </c>
    </row>
    <row r="57">
      <c r="A57" s="47"/>
      <c r="B57" s="48"/>
      <c r="C57" s="18" t="s">
        <v>33</v>
      </c>
      <c r="D57" s="13" t="s">
        <v>34</v>
      </c>
      <c r="E57" s="13" t="s">
        <v>36</v>
      </c>
      <c r="F57" s="17">
        <v>234.0</v>
      </c>
    </row>
    <row r="58">
      <c r="A58" s="47"/>
      <c r="B58" s="48"/>
      <c r="C58" s="18" t="s">
        <v>41</v>
      </c>
      <c r="D58" s="25"/>
      <c r="E58" s="25"/>
      <c r="F58" s="20">
        <v>500.0</v>
      </c>
    </row>
    <row r="59">
      <c r="A59" s="47"/>
      <c r="B59" s="48"/>
      <c r="C59" s="18" t="s">
        <v>43</v>
      </c>
      <c r="D59" s="25"/>
      <c r="E59" s="25"/>
      <c r="F59" s="20">
        <v>500.0</v>
      </c>
    </row>
    <row r="60">
      <c r="A60" s="47"/>
      <c r="B60" s="48"/>
      <c r="C60" s="18" t="s">
        <v>84</v>
      </c>
      <c r="D60" s="52"/>
      <c r="E60" s="52"/>
      <c r="F60" s="51">
        <v>300.0</v>
      </c>
    </row>
    <row r="61">
      <c r="A61" s="53"/>
      <c r="B61" s="54"/>
      <c r="C61" s="18" t="s">
        <v>31</v>
      </c>
      <c r="D61" s="8" t="s">
        <v>127</v>
      </c>
      <c r="E61" s="8" t="s">
        <v>128</v>
      </c>
      <c r="F61" s="20">
        <v>82.1</v>
      </c>
    </row>
    <row r="62">
      <c r="A62" s="46"/>
      <c r="B62" s="46"/>
      <c r="C62" s="30">
        <f>sum(F53:F61)</f>
        <v>5217.1</v>
      </c>
      <c r="D62" s="32"/>
      <c r="E62" s="32"/>
      <c r="F62" s="33"/>
      <c r="G62" s="4">
        <v>10000.0</v>
      </c>
      <c r="H62" s="34">
        <f>G62-C62</f>
        <v>4782.9</v>
      </c>
      <c r="I62" s="34">
        <f>H62*9</f>
        <v>43046.1</v>
      </c>
    </row>
    <row r="63">
      <c r="I63" s="34">
        <f>sum(I5:I62)</f>
        <v>253556.1</v>
      </c>
    </row>
  </sheetData>
  <mergeCells count="17">
    <mergeCell ref="B19:B26"/>
    <mergeCell ref="C26:F26"/>
    <mergeCell ref="A27:A35"/>
    <mergeCell ref="B27:B35"/>
    <mergeCell ref="C35:F35"/>
    <mergeCell ref="A36:A43"/>
    <mergeCell ref="B36:B43"/>
    <mergeCell ref="C43:F43"/>
    <mergeCell ref="C52:F52"/>
    <mergeCell ref="C62:F62"/>
    <mergeCell ref="A5:A11"/>
    <mergeCell ref="B5:B11"/>
    <mergeCell ref="C11:F11"/>
    <mergeCell ref="A12:A18"/>
    <mergeCell ref="B12:B18"/>
    <mergeCell ref="C18:F18"/>
    <mergeCell ref="A19:A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14.88"/>
    <col customWidth="1" min="4" max="4" width="16.88"/>
    <col customWidth="1" min="5" max="5" width="16.25"/>
  </cols>
  <sheetData>
    <row r="1">
      <c r="A1" s="2" t="s">
        <v>1</v>
      </c>
      <c r="B1" s="3"/>
    </row>
    <row r="3">
      <c r="A3" s="5" t="s">
        <v>3</v>
      </c>
    </row>
    <row r="4">
      <c r="A4" s="6" t="s">
        <v>9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19</v>
      </c>
    </row>
    <row r="5">
      <c r="A5" s="12">
        <v>1.0</v>
      </c>
      <c r="B5" s="14" t="s">
        <v>8</v>
      </c>
      <c r="C5" s="18" t="s">
        <v>24</v>
      </c>
      <c r="D5" s="8" t="s">
        <v>25</v>
      </c>
      <c r="E5" s="19" t="s">
        <v>26</v>
      </c>
      <c r="F5" s="20">
        <v>3607.0</v>
      </c>
    </row>
    <row r="6">
      <c r="A6" s="21"/>
      <c r="B6" s="21"/>
      <c r="C6" s="18" t="s">
        <v>27</v>
      </c>
      <c r="D6" s="8" t="s">
        <v>28</v>
      </c>
      <c r="E6" s="8" t="s">
        <v>29</v>
      </c>
      <c r="F6" s="20">
        <v>465.0</v>
      </c>
    </row>
    <row r="7">
      <c r="A7" s="21"/>
      <c r="B7" s="21"/>
      <c r="C7" s="18" t="s">
        <v>31</v>
      </c>
      <c r="D7" s="8" t="s">
        <v>32</v>
      </c>
      <c r="E7" s="8">
        <v>1.11</v>
      </c>
      <c r="F7" s="20">
        <v>166.5</v>
      </c>
    </row>
    <row r="8">
      <c r="A8" s="21"/>
      <c r="B8" s="21"/>
      <c r="C8" s="18" t="s">
        <v>33</v>
      </c>
      <c r="D8" s="13" t="s">
        <v>34</v>
      </c>
      <c r="E8" s="13" t="s">
        <v>36</v>
      </c>
      <c r="F8" s="17">
        <v>234.0</v>
      </c>
    </row>
    <row r="9">
      <c r="A9" s="21"/>
      <c r="B9" s="21"/>
      <c r="C9" s="18" t="s">
        <v>41</v>
      </c>
      <c r="D9" s="25"/>
      <c r="E9" s="25"/>
      <c r="F9" s="20">
        <v>500.0</v>
      </c>
    </row>
    <row r="10">
      <c r="A10" s="21"/>
      <c r="B10" s="21"/>
      <c r="C10" s="18" t="s">
        <v>43</v>
      </c>
      <c r="D10" s="25"/>
      <c r="E10" s="25"/>
      <c r="F10" s="20">
        <v>500.0</v>
      </c>
    </row>
    <row r="11">
      <c r="A11" s="26"/>
      <c r="B11" s="26"/>
      <c r="C11" s="30">
        <f>sum(F5:F10)</f>
        <v>5472.5</v>
      </c>
      <c r="D11" s="32"/>
      <c r="E11" s="32"/>
      <c r="F11" s="33"/>
      <c r="G11" s="4">
        <v>8000.0</v>
      </c>
      <c r="H11" s="34">
        <f>G11-C11</f>
        <v>2527.5</v>
      </c>
      <c r="I11" s="34">
        <f>H11*9</f>
        <v>22747.5</v>
      </c>
    </row>
    <row r="12">
      <c r="A12" s="35">
        <v>2.0</v>
      </c>
      <c r="B12" s="14" t="s">
        <v>61</v>
      </c>
      <c r="C12" s="18" t="s">
        <v>24</v>
      </c>
      <c r="D12" s="8" t="s">
        <v>25</v>
      </c>
      <c r="E12" s="19" t="s">
        <v>26</v>
      </c>
      <c r="F12" s="20">
        <v>3607.0</v>
      </c>
    </row>
    <row r="13">
      <c r="A13" s="21"/>
      <c r="B13" s="21"/>
      <c r="C13" s="18" t="s">
        <v>27</v>
      </c>
      <c r="D13" s="8" t="s">
        <v>28</v>
      </c>
      <c r="E13" s="8" t="s">
        <v>29</v>
      </c>
      <c r="F13" s="20">
        <v>465.0</v>
      </c>
    </row>
    <row r="14">
      <c r="A14" s="21"/>
      <c r="B14" s="21"/>
      <c r="C14" s="18" t="s">
        <v>63</v>
      </c>
      <c r="D14" s="8" t="s">
        <v>65</v>
      </c>
      <c r="E14" s="8" t="s">
        <v>66</v>
      </c>
      <c r="F14" s="20">
        <v>499.0</v>
      </c>
    </row>
    <row r="15">
      <c r="A15" s="21"/>
      <c r="B15" s="21"/>
      <c r="C15" s="18" t="s">
        <v>33</v>
      </c>
      <c r="D15" s="13" t="s">
        <v>34</v>
      </c>
      <c r="E15" s="13" t="s">
        <v>36</v>
      </c>
      <c r="F15" s="17">
        <v>234.0</v>
      </c>
    </row>
    <row r="16">
      <c r="A16" s="21"/>
      <c r="B16" s="21"/>
      <c r="C16" s="18" t="s">
        <v>41</v>
      </c>
      <c r="D16" s="25"/>
      <c r="E16" s="25"/>
      <c r="F16" s="20">
        <v>500.0</v>
      </c>
    </row>
    <row r="17">
      <c r="A17" s="21"/>
      <c r="B17" s="21"/>
      <c r="C17" s="18" t="s">
        <v>43</v>
      </c>
      <c r="D17" s="25"/>
      <c r="E17" s="25"/>
      <c r="F17" s="20">
        <v>500.0</v>
      </c>
    </row>
    <row r="18">
      <c r="A18" s="26"/>
      <c r="B18" s="26"/>
      <c r="C18" s="30">
        <f>sum(F12:F17)</f>
        <v>5805</v>
      </c>
      <c r="D18" s="32"/>
      <c r="E18" s="32"/>
      <c r="F18" s="33"/>
      <c r="G18" s="4">
        <v>9000.0</v>
      </c>
      <c r="H18" s="34">
        <f>G18-C18</f>
        <v>3195</v>
      </c>
      <c r="I18" s="34">
        <f>H18*9</f>
        <v>28755</v>
      </c>
    </row>
    <row r="19">
      <c r="A19" s="12">
        <v>3.0</v>
      </c>
      <c r="B19" s="14" t="s">
        <v>6</v>
      </c>
      <c r="C19" s="18" t="s">
        <v>24</v>
      </c>
      <c r="D19" s="8" t="s">
        <v>25</v>
      </c>
      <c r="E19" s="19" t="s">
        <v>26</v>
      </c>
      <c r="F19" s="20">
        <v>3607.0</v>
      </c>
    </row>
    <row r="20">
      <c r="A20" s="21"/>
      <c r="B20" s="21"/>
      <c r="C20" s="18" t="s">
        <v>27</v>
      </c>
      <c r="D20" s="8" t="s">
        <v>28</v>
      </c>
      <c r="E20" s="8" t="s">
        <v>29</v>
      </c>
      <c r="F20" s="20">
        <v>465.0</v>
      </c>
    </row>
    <row r="21">
      <c r="A21" s="21"/>
      <c r="B21" s="21"/>
      <c r="C21" s="18" t="s">
        <v>77</v>
      </c>
      <c r="D21" s="13" t="s">
        <v>32</v>
      </c>
      <c r="E21" s="13" t="s">
        <v>78</v>
      </c>
      <c r="F21" s="17">
        <v>357.5</v>
      </c>
    </row>
    <row r="22">
      <c r="A22" s="21"/>
      <c r="B22" s="21"/>
      <c r="C22" s="18" t="s">
        <v>33</v>
      </c>
      <c r="D22" s="13" t="s">
        <v>34</v>
      </c>
      <c r="E22" s="13" t="s">
        <v>36</v>
      </c>
      <c r="F22" s="17">
        <v>234.0</v>
      </c>
    </row>
    <row r="23">
      <c r="A23" s="21"/>
      <c r="B23" s="21"/>
      <c r="C23" s="18" t="s">
        <v>79</v>
      </c>
      <c r="D23" s="8" t="s">
        <v>80</v>
      </c>
      <c r="E23" s="8" t="s">
        <v>81</v>
      </c>
      <c r="F23" s="20">
        <v>49.0</v>
      </c>
    </row>
    <row r="24">
      <c r="A24" s="21"/>
      <c r="B24" s="21"/>
      <c r="C24" s="18" t="s">
        <v>41</v>
      </c>
      <c r="D24" s="25"/>
      <c r="E24" s="25"/>
      <c r="F24" s="20">
        <v>500.0</v>
      </c>
    </row>
    <row r="25">
      <c r="A25" s="21"/>
      <c r="B25" s="21"/>
      <c r="C25" s="18" t="s">
        <v>43</v>
      </c>
      <c r="D25" s="25"/>
      <c r="E25" s="25"/>
      <c r="F25" s="20">
        <v>500.0</v>
      </c>
    </row>
    <row r="26">
      <c r="A26" s="26"/>
      <c r="B26" s="26"/>
      <c r="C26" s="30">
        <f>sum(F19:F25)</f>
        <v>5712.5</v>
      </c>
      <c r="D26" s="32"/>
      <c r="E26" s="32"/>
      <c r="F26" s="33"/>
      <c r="G26" s="4">
        <v>8000.0</v>
      </c>
      <c r="H26" s="34">
        <f>G26-C26</f>
        <v>2287.5</v>
      </c>
      <c r="I26" s="34">
        <f>H26*9</f>
        <v>20587.5</v>
      </c>
    </row>
    <row r="27">
      <c r="A27" s="12">
        <v>4.0</v>
      </c>
      <c r="B27" s="45" t="s">
        <v>93</v>
      </c>
      <c r="C27" s="18" t="s">
        <v>24</v>
      </c>
      <c r="D27" s="8" t="s">
        <v>25</v>
      </c>
      <c r="E27" s="19" t="s">
        <v>26</v>
      </c>
      <c r="F27" s="20">
        <v>3607.0</v>
      </c>
    </row>
    <row r="28">
      <c r="A28" s="21"/>
      <c r="B28" s="21"/>
      <c r="C28" s="18" t="s">
        <v>27</v>
      </c>
      <c r="D28" s="8" t="s">
        <v>28</v>
      </c>
      <c r="E28" s="8" t="s">
        <v>29</v>
      </c>
      <c r="F28" s="20">
        <v>465.0</v>
      </c>
    </row>
    <row r="29">
      <c r="A29" s="21"/>
      <c r="B29" s="21"/>
      <c r="C29" s="18" t="s">
        <v>77</v>
      </c>
      <c r="D29" s="13" t="s">
        <v>32</v>
      </c>
      <c r="E29" s="13" t="s">
        <v>78</v>
      </c>
      <c r="F29" s="17">
        <v>357.5</v>
      </c>
    </row>
    <row r="30">
      <c r="A30" s="21"/>
      <c r="B30" s="21"/>
      <c r="C30" s="18" t="s">
        <v>33</v>
      </c>
      <c r="D30" s="13" t="s">
        <v>34</v>
      </c>
      <c r="E30" s="13" t="s">
        <v>36</v>
      </c>
      <c r="F30" s="17">
        <v>234.0</v>
      </c>
    </row>
    <row r="31">
      <c r="A31" s="21"/>
      <c r="B31" s="21"/>
      <c r="C31" s="18" t="s">
        <v>79</v>
      </c>
      <c r="D31" s="8" t="s">
        <v>80</v>
      </c>
      <c r="E31" s="8" t="s">
        <v>81</v>
      </c>
      <c r="F31" s="20">
        <v>49.0</v>
      </c>
    </row>
    <row r="32">
      <c r="A32" s="21"/>
      <c r="B32" s="21"/>
      <c r="C32" s="18" t="s">
        <v>49</v>
      </c>
      <c r="D32" s="8" t="s">
        <v>34</v>
      </c>
      <c r="E32" s="8" t="s">
        <v>32</v>
      </c>
      <c r="F32" s="20">
        <v>935.0</v>
      </c>
    </row>
    <row r="33">
      <c r="A33" s="21"/>
      <c r="B33" s="21"/>
      <c r="C33" s="18" t="s">
        <v>41</v>
      </c>
      <c r="D33" s="25"/>
      <c r="E33" s="25"/>
      <c r="F33" s="20">
        <v>500.0</v>
      </c>
    </row>
    <row r="34">
      <c r="A34" s="21"/>
      <c r="B34" s="21"/>
      <c r="C34" s="18" t="s">
        <v>43</v>
      </c>
      <c r="D34" s="25"/>
      <c r="E34" s="25"/>
      <c r="F34" s="20">
        <v>500.0</v>
      </c>
    </row>
    <row r="35">
      <c r="A35" s="26"/>
      <c r="B35" s="26"/>
      <c r="C35" s="30">
        <f>sum(F27:F34)</f>
        <v>6647.5</v>
      </c>
      <c r="D35" s="32"/>
      <c r="E35" s="32"/>
      <c r="F35" s="33"/>
      <c r="G35" s="4">
        <v>9000.0</v>
      </c>
      <c r="H35" s="34">
        <f>G35-C35</f>
        <v>2352.5</v>
      </c>
      <c r="I35" s="34">
        <f>H35*9</f>
        <v>21172.5</v>
      </c>
    </row>
    <row r="36">
      <c r="A36" s="12">
        <v>5.0</v>
      </c>
      <c r="B36" s="45" t="s">
        <v>30</v>
      </c>
      <c r="C36" s="18" t="s">
        <v>24</v>
      </c>
      <c r="D36" s="8" t="s">
        <v>25</v>
      </c>
      <c r="E36" s="19" t="s">
        <v>26</v>
      </c>
      <c r="F36" s="20">
        <v>3607.0</v>
      </c>
    </row>
    <row r="37">
      <c r="A37" s="21"/>
      <c r="B37" s="21"/>
      <c r="C37" s="18" t="s">
        <v>27</v>
      </c>
      <c r="D37" s="8" t="s">
        <v>28</v>
      </c>
      <c r="E37" s="8" t="s">
        <v>29</v>
      </c>
      <c r="F37" s="20">
        <v>465.0</v>
      </c>
    </row>
    <row r="38">
      <c r="A38" s="21"/>
      <c r="B38" s="21"/>
      <c r="C38" s="18" t="s">
        <v>31</v>
      </c>
      <c r="D38" s="8" t="s">
        <v>32</v>
      </c>
      <c r="E38" s="8">
        <v>1.11</v>
      </c>
      <c r="F38" s="20">
        <v>166.5</v>
      </c>
    </row>
    <row r="39">
      <c r="A39" s="21"/>
      <c r="B39" s="21"/>
      <c r="C39" s="18" t="s">
        <v>33</v>
      </c>
      <c r="D39" s="13" t="s">
        <v>34</v>
      </c>
      <c r="E39" s="13" t="s">
        <v>36</v>
      </c>
      <c r="F39" s="17">
        <v>234.0</v>
      </c>
    </row>
    <row r="40">
      <c r="A40" s="21"/>
      <c r="B40" s="21"/>
      <c r="C40" s="18" t="s">
        <v>63</v>
      </c>
      <c r="D40" s="8" t="s">
        <v>65</v>
      </c>
      <c r="E40" s="8" t="s">
        <v>66</v>
      </c>
      <c r="F40" s="20">
        <v>499.0</v>
      </c>
    </row>
    <row r="41">
      <c r="A41" s="21"/>
      <c r="B41" s="21"/>
      <c r="C41" s="18" t="s">
        <v>41</v>
      </c>
      <c r="D41" s="25"/>
      <c r="E41" s="25"/>
      <c r="F41" s="20">
        <v>500.0</v>
      </c>
    </row>
    <row r="42">
      <c r="A42" s="21"/>
      <c r="B42" s="21"/>
      <c r="C42" s="18" t="s">
        <v>43</v>
      </c>
      <c r="D42" s="25"/>
      <c r="E42" s="25"/>
      <c r="F42" s="20">
        <v>500.0</v>
      </c>
    </row>
    <row r="43">
      <c r="A43" s="26"/>
      <c r="B43" s="26"/>
      <c r="C43" s="30">
        <f>sum(F36:F42)</f>
        <v>5971.5</v>
      </c>
      <c r="D43" s="32"/>
      <c r="E43" s="32"/>
      <c r="F43" s="33"/>
      <c r="G43" s="4">
        <v>9000.0</v>
      </c>
      <c r="H43" s="34">
        <f>G43-C43</f>
        <v>3028.5</v>
      </c>
      <c r="I43" s="34">
        <f>H43*9</f>
        <v>27256.5</v>
      </c>
    </row>
    <row r="44">
      <c r="A44" s="12">
        <v>6.0</v>
      </c>
      <c r="B44" s="45" t="s">
        <v>20</v>
      </c>
      <c r="C44" s="18" t="s">
        <v>24</v>
      </c>
      <c r="D44" s="8" t="s">
        <v>25</v>
      </c>
      <c r="E44" s="19" t="s">
        <v>26</v>
      </c>
      <c r="F44" s="20">
        <v>3607.0</v>
      </c>
    </row>
    <row r="45">
      <c r="A45" s="47"/>
      <c r="B45" s="48"/>
      <c r="C45" s="18" t="s">
        <v>27</v>
      </c>
      <c r="D45" s="8" t="s">
        <v>28</v>
      </c>
      <c r="E45" s="8" t="s">
        <v>29</v>
      </c>
      <c r="F45" s="20">
        <v>465.0</v>
      </c>
    </row>
    <row r="46">
      <c r="A46" s="47"/>
      <c r="B46" s="48"/>
      <c r="C46" s="18" t="s">
        <v>20</v>
      </c>
      <c r="D46" s="49"/>
      <c r="E46" s="49"/>
      <c r="F46" s="50">
        <v>667.0</v>
      </c>
    </row>
    <row r="47">
      <c r="A47" s="47"/>
      <c r="B47" s="48"/>
      <c r="C47" s="10" t="s">
        <v>71</v>
      </c>
      <c r="D47" s="49" t="s">
        <v>40</v>
      </c>
      <c r="E47" s="49" t="s">
        <v>115</v>
      </c>
      <c r="F47" s="51">
        <v>222.0</v>
      </c>
    </row>
    <row r="48">
      <c r="A48" s="47"/>
      <c r="B48" s="48"/>
      <c r="C48" s="18" t="s">
        <v>33</v>
      </c>
      <c r="D48" s="13" t="s">
        <v>34</v>
      </c>
      <c r="E48" s="13" t="s">
        <v>36</v>
      </c>
      <c r="F48" s="17">
        <v>234.0</v>
      </c>
    </row>
    <row r="49">
      <c r="A49" s="47"/>
      <c r="B49" s="48"/>
      <c r="C49" s="18" t="s">
        <v>84</v>
      </c>
      <c r="D49" s="52"/>
      <c r="E49" s="52"/>
      <c r="F49" s="51">
        <v>300.0</v>
      </c>
    </row>
    <row r="50">
      <c r="A50" s="47"/>
      <c r="B50" s="48"/>
      <c r="C50" s="18" t="s">
        <v>41</v>
      </c>
      <c r="D50" s="25"/>
      <c r="E50" s="25"/>
      <c r="F50" s="20">
        <v>500.0</v>
      </c>
    </row>
    <row r="51">
      <c r="A51" s="47"/>
      <c r="B51" s="48"/>
      <c r="C51" s="18" t="s">
        <v>43</v>
      </c>
      <c r="D51" s="25"/>
      <c r="E51" s="25"/>
      <c r="F51" s="20">
        <v>500.0</v>
      </c>
    </row>
    <row r="52">
      <c r="A52" s="53"/>
      <c r="B52" s="54"/>
      <c r="C52" s="30">
        <f>sum(F44:F51)</f>
        <v>6495</v>
      </c>
      <c r="D52" s="32"/>
      <c r="E52" s="32"/>
      <c r="F52" s="33"/>
      <c r="G52" s="4">
        <v>9000.0</v>
      </c>
      <c r="H52" s="34">
        <f>G52-C52</f>
        <v>2505</v>
      </c>
      <c r="I52" s="34">
        <f>H52*9</f>
        <v>22545</v>
      </c>
    </row>
    <row r="53">
      <c r="A53" s="12">
        <v>7.0</v>
      </c>
      <c r="B53" s="45" t="s">
        <v>42</v>
      </c>
      <c r="C53" s="18" t="s">
        <v>24</v>
      </c>
      <c r="D53" s="8" t="s">
        <v>25</v>
      </c>
      <c r="E53" s="19" t="s">
        <v>26</v>
      </c>
      <c r="F53" s="20">
        <v>3607.0</v>
      </c>
    </row>
    <row r="54">
      <c r="A54" s="47"/>
      <c r="B54" s="48"/>
      <c r="C54" s="18" t="s">
        <v>27</v>
      </c>
      <c r="D54" s="8" t="s">
        <v>28</v>
      </c>
      <c r="E54" s="8" t="s">
        <v>29</v>
      </c>
      <c r="F54" s="20">
        <v>465.0</v>
      </c>
    </row>
    <row r="55">
      <c r="A55" s="47"/>
      <c r="B55" s="48"/>
      <c r="C55" s="18" t="s">
        <v>20</v>
      </c>
      <c r="D55" s="49"/>
      <c r="E55" s="49"/>
      <c r="F55" s="50">
        <v>667.0</v>
      </c>
    </row>
    <row r="56">
      <c r="A56" s="47"/>
      <c r="B56" s="48"/>
      <c r="C56" s="10" t="s">
        <v>71</v>
      </c>
      <c r="D56" s="49" t="s">
        <v>121</v>
      </c>
      <c r="E56" s="49" t="s">
        <v>122</v>
      </c>
      <c r="F56" s="51">
        <v>111.0</v>
      </c>
    </row>
    <row r="57">
      <c r="A57" s="47"/>
      <c r="B57" s="48"/>
      <c r="C57" s="18" t="s">
        <v>33</v>
      </c>
      <c r="D57" s="13" t="s">
        <v>34</v>
      </c>
      <c r="E57" s="13" t="s">
        <v>36</v>
      </c>
      <c r="F57" s="17">
        <v>234.0</v>
      </c>
    </row>
    <row r="58">
      <c r="A58" s="47"/>
      <c r="B58" s="48"/>
      <c r="C58" s="18" t="s">
        <v>41</v>
      </c>
      <c r="D58" s="25"/>
      <c r="E58" s="25"/>
      <c r="F58" s="20">
        <v>500.0</v>
      </c>
    </row>
    <row r="59">
      <c r="A59" s="47"/>
      <c r="B59" s="48"/>
      <c r="C59" s="18" t="s">
        <v>43</v>
      </c>
      <c r="D59" s="25"/>
      <c r="E59" s="25"/>
      <c r="F59" s="20">
        <v>500.0</v>
      </c>
    </row>
    <row r="60">
      <c r="A60" s="47"/>
      <c r="B60" s="48"/>
      <c r="C60" s="18" t="s">
        <v>84</v>
      </c>
      <c r="D60" s="52"/>
      <c r="E60" s="52"/>
      <c r="F60" s="51">
        <v>300.0</v>
      </c>
    </row>
    <row r="61">
      <c r="A61" s="53"/>
      <c r="B61" s="54"/>
      <c r="C61" s="18" t="s">
        <v>31</v>
      </c>
      <c r="D61" s="8" t="s">
        <v>127</v>
      </c>
      <c r="E61" s="8" t="s">
        <v>128</v>
      </c>
      <c r="F61" s="20">
        <v>82.1</v>
      </c>
    </row>
    <row r="62">
      <c r="A62" s="46"/>
      <c r="B62" s="46"/>
      <c r="C62" s="30">
        <f>sum(F53:F61)</f>
        <v>6466.1</v>
      </c>
      <c r="D62" s="32"/>
      <c r="E62" s="32"/>
      <c r="F62" s="33"/>
      <c r="G62" s="4">
        <v>10000.0</v>
      </c>
      <c r="H62" s="34">
        <f>G62-C62</f>
        <v>3533.9</v>
      </c>
      <c r="I62" s="34">
        <f>H62*9</f>
        <v>31805.1</v>
      </c>
    </row>
    <row r="63">
      <c r="I63" s="34">
        <f>SUM(I4:I62)</f>
        <v>174869.1</v>
      </c>
    </row>
  </sheetData>
  <mergeCells count="17">
    <mergeCell ref="B19:B26"/>
    <mergeCell ref="C26:F26"/>
    <mergeCell ref="A27:A35"/>
    <mergeCell ref="B27:B35"/>
    <mergeCell ref="C35:F35"/>
    <mergeCell ref="A36:A43"/>
    <mergeCell ref="B36:B43"/>
    <mergeCell ref="C43:F43"/>
    <mergeCell ref="C52:F52"/>
    <mergeCell ref="C62:F62"/>
    <mergeCell ref="A5:A11"/>
    <mergeCell ref="B5:B11"/>
    <mergeCell ref="C11:F11"/>
    <mergeCell ref="A12:A18"/>
    <mergeCell ref="B12:B18"/>
    <mergeCell ref="C18:F18"/>
    <mergeCell ref="A19:A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14.88"/>
    <col customWidth="1" min="4" max="4" width="16.88"/>
    <col customWidth="1" min="5" max="5" width="16.25"/>
    <col customWidth="1" min="10" max="10" width="16.13"/>
  </cols>
  <sheetData>
    <row r="1">
      <c r="A1" s="2" t="s">
        <v>1</v>
      </c>
      <c r="B1" s="3"/>
    </row>
    <row r="3">
      <c r="A3" s="5" t="s">
        <v>3</v>
      </c>
    </row>
    <row r="4">
      <c r="A4" s="6" t="s">
        <v>9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19</v>
      </c>
      <c r="K4" s="4" t="s">
        <v>145</v>
      </c>
    </row>
    <row r="5">
      <c r="A5" s="12">
        <v>1.0</v>
      </c>
      <c r="B5" s="14" t="s">
        <v>8</v>
      </c>
      <c r="C5" s="18" t="s">
        <v>24</v>
      </c>
      <c r="D5" s="8" t="s">
        <v>25</v>
      </c>
      <c r="E5" s="19" t="s">
        <v>26</v>
      </c>
      <c r="F5" s="20">
        <v>2544.0</v>
      </c>
      <c r="K5" s="4" t="s">
        <v>146</v>
      </c>
      <c r="L5" s="55">
        <v>36000.0</v>
      </c>
    </row>
    <row r="6">
      <c r="A6" s="21"/>
      <c r="B6" s="21"/>
      <c r="C6" s="18" t="s">
        <v>27</v>
      </c>
      <c r="D6" s="8" t="s">
        <v>28</v>
      </c>
      <c r="E6" s="8" t="s">
        <v>29</v>
      </c>
      <c r="F6" s="20">
        <v>465.0</v>
      </c>
      <c r="K6" s="4" t="s">
        <v>147</v>
      </c>
      <c r="L6" s="55">
        <v>96492.0</v>
      </c>
    </row>
    <row r="7">
      <c r="A7" s="21"/>
      <c r="B7" s="21"/>
      <c r="C7" s="18" t="s">
        <v>31</v>
      </c>
      <c r="D7" s="8" t="s">
        <v>32</v>
      </c>
      <c r="E7" s="8">
        <v>1.11</v>
      </c>
      <c r="F7" s="20">
        <v>166.5</v>
      </c>
    </row>
    <row r="8">
      <c r="A8" s="21"/>
      <c r="B8" s="21"/>
      <c r="C8" s="18" t="s">
        <v>33</v>
      </c>
      <c r="D8" s="13" t="s">
        <v>34</v>
      </c>
      <c r="E8" s="13" t="s">
        <v>36</v>
      </c>
      <c r="F8" s="17">
        <v>234.0</v>
      </c>
      <c r="K8" s="4" t="s">
        <v>148</v>
      </c>
    </row>
    <row r="9">
      <c r="A9" s="21"/>
      <c r="B9" s="21"/>
      <c r="C9" s="18" t="s">
        <v>41</v>
      </c>
      <c r="D9" s="25"/>
      <c r="E9" s="25"/>
      <c r="F9" s="20">
        <v>500.0</v>
      </c>
      <c r="K9" s="4" t="s">
        <v>149</v>
      </c>
      <c r="L9" s="55">
        <v>3600.0</v>
      </c>
    </row>
    <row r="10">
      <c r="A10" s="21"/>
      <c r="B10" s="21"/>
      <c r="C10" s="18" t="s">
        <v>43</v>
      </c>
      <c r="D10" s="25"/>
      <c r="E10" s="25"/>
      <c r="F10" s="20">
        <v>500.0</v>
      </c>
      <c r="K10" s="4" t="s">
        <v>150</v>
      </c>
      <c r="L10" s="55">
        <v>19299.0</v>
      </c>
    </row>
    <row r="11">
      <c r="A11" s="26"/>
      <c r="B11" s="26"/>
      <c r="C11" s="30">
        <f>sum(F5:F10)</f>
        <v>4409.5</v>
      </c>
      <c r="D11" s="32"/>
      <c r="E11" s="32"/>
      <c r="F11" s="33"/>
      <c r="G11" s="4">
        <v>8000.0</v>
      </c>
      <c r="H11" s="34">
        <f>G11-C11</f>
        <v>3590.5</v>
      </c>
      <c r="I11" s="34">
        <f>H11*9</f>
        <v>32314.5</v>
      </c>
      <c r="L11" s="34">
        <f>sum(L9:L10)/9</f>
        <v>2544.333333</v>
      </c>
    </row>
    <row r="12">
      <c r="A12" s="35">
        <v>2.0</v>
      </c>
      <c r="B12" s="14" t="s">
        <v>61</v>
      </c>
      <c r="C12" s="18" t="s">
        <v>24</v>
      </c>
      <c r="D12" s="8" t="s">
        <v>25</v>
      </c>
      <c r="E12" s="19" t="s">
        <v>26</v>
      </c>
      <c r="F12" s="20">
        <v>2544.0</v>
      </c>
    </row>
    <row r="13">
      <c r="A13" s="21"/>
      <c r="B13" s="21"/>
      <c r="C13" s="18" t="s">
        <v>27</v>
      </c>
      <c r="D13" s="8" t="s">
        <v>28</v>
      </c>
      <c r="E13" s="8" t="s">
        <v>29</v>
      </c>
      <c r="F13" s="20">
        <v>465.0</v>
      </c>
    </row>
    <row r="14">
      <c r="A14" s="21"/>
      <c r="B14" s="21"/>
      <c r="C14" s="18" t="s">
        <v>151</v>
      </c>
      <c r="D14" s="8" t="s">
        <v>152</v>
      </c>
      <c r="E14" s="8" t="s">
        <v>66</v>
      </c>
      <c r="F14" s="20">
        <v>297.0</v>
      </c>
    </row>
    <row r="15">
      <c r="A15" s="21"/>
      <c r="B15" s="21"/>
      <c r="C15" s="18" t="s">
        <v>33</v>
      </c>
      <c r="D15" s="13" t="s">
        <v>34</v>
      </c>
      <c r="E15" s="13" t="s">
        <v>36</v>
      </c>
      <c r="F15" s="17">
        <v>234.0</v>
      </c>
    </row>
    <row r="16">
      <c r="A16" s="21"/>
      <c r="B16" s="21"/>
      <c r="C16" s="18" t="s">
        <v>41</v>
      </c>
      <c r="D16" s="25"/>
      <c r="E16" s="25"/>
      <c r="F16" s="20">
        <v>500.0</v>
      </c>
    </row>
    <row r="17">
      <c r="A17" s="21"/>
      <c r="B17" s="21"/>
      <c r="C17" s="18" t="s">
        <v>43</v>
      </c>
      <c r="D17" s="25"/>
      <c r="E17" s="25"/>
      <c r="F17" s="20">
        <v>500.0</v>
      </c>
    </row>
    <row r="18">
      <c r="A18" s="26"/>
      <c r="B18" s="26"/>
      <c r="C18" s="30">
        <f>sum(F12:F17)</f>
        <v>4540</v>
      </c>
      <c r="D18" s="32"/>
      <c r="E18" s="32"/>
      <c r="F18" s="33"/>
      <c r="G18" s="4">
        <v>9000.0</v>
      </c>
      <c r="H18" s="34">
        <f>G18-C18</f>
        <v>4460</v>
      </c>
      <c r="I18" s="34">
        <f>H18*9</f>
        <v>40140</v>
      </c>
    </row>
    <row r="19">
      <c r="A19" s="12">
        <v>3.0</v>
      </c>
      <c r="B19" s="14" t="s">
        <v>6</v>
      </c>
      <c r="C19" s="18" t="s">
        <v>24</v>
      </c>
      <c r="D19" s="8" t="s">
        <v>25</v>
      </c>
      <c r="E19" s="19" t="s">
        <v>26</v>
      </c>
      <c r="F19" s="20">
        <v>2544.0</v>
      </c>
    </row>
    <row r="20">
      <c r="A20" s="21"/>
      <c r="B20" s="21"/>
      <c r="C20" s="18" t="s">
        <v>27</v>
      </c>
      <c r="D20" s="8" t="s">
        <v>28</v>
      </c>
      <c r="E20" s="8" t="s">
        <v>29</v>
      </c>
      <c r="F20" s="20">
        <v>465.0</v>
      </c>
    </row>
    <row r="21">
      <c r="A21" s="21"/>
      <c r="B21" s="21"/>
      <c r="C21" s="18" t="s">
        <v>77</v>
      </c>
      <c r="D21" s="13" t="s">
        <v>32</v>
      </c>
      <c r="E21" s="13" t="s">
        <v>78</v>
      </c>
      <c r="F21" s="17">
        <v>414.0</v>
      </c>
    </row>
    <row r="22">
      <c r="A22" s="21"/>
      <c r="B22" s="21"/>
      <c r="C22" s="18" t="s">
        <v>33</v>
      </c>
      <c r="D22" s="13" t="s">
        <v>34</v>
      </c>
      <c r="E22" s="13" t="s">
        <v>36</v>
      </c>
      <c r="F22" s="17">
        <v>234.0</v>
      </c>
    </row>
    <row r="23">
      <c r="A23" s="21"/>
      <c r="B23" s="21"/>
      <c r="C23" s="18" t="s">
        <v>79</v>
      </c>
      <c r="D23" s="8" t="s">
        <v>80</v>
      </c>
      <c r="E23" s="8" t="s">
        <v>81</v>
      </c>
      <c r="F23" s="20">
        <v>49.0</v>
      </c>
    </row>
    <row r="24">
      <c r="A24" s="21"/>
      <c r="B24" s="21"/>
      <c r="C24" s="18" t="s">
        <v>41</v>
      </c>
      <c r="D24" s="25"/>
      <c r="E24" s="25"/>
      <c r="F24" s="20">
        <v>500.0</v>
      </c>
    </row>
    <row r="25">
      <c r="A25" s="21"/>
      <c r="B25" s="21"/>
      <c r="C25" s="18" t="s">
        <v>43</v>
      </c>
      <c r="D25" s="25"/>
      <c r="E25" s="25"/>
      <c r="F25" s="20">
        <v>500.0</v>
      </c>
    </row>
    <row r="26">
      <c r="A26" s="26"/>
      <c r="B26" s="26"/>
      <c r="C26" s="30">
        <f>sum(F19:F25)</f>
        <v>4706</v>
      </c>
      <c r="D26" s="32"/>
      <c r="E26" s="32"/>
      <c r="F26" s="33"/>
      <c r="G26" s="4">
        <v>8000.0</v>
      </c>
      <c r="H26" s="34">
        <f>G26-C26</f>
        <v>3294</v>
      </c>
      <c r="I26" s="34">
        <f>H26*9</f>
        <v>29646</v>
      </c>
    </row>
    <row r="27">
      <c r="A27" s="12">
        <v>4.0</v>
      </c>
      <c r="B27" s="45" t="s">
        <v>93</v>
      </c>
      <c r="C27" s="18" t="s">
        <v>24</v>
      </c>
      <c r="D27" s="8" t="s">
        <v>25</v>
      </c>
      <c r="E27" s="19" t="s">
        <v>26</v>
      </c>
      <c r="F27" s="20">
        <v>2544.0</v>
      </c>
    </row>
    <row r="28">
      <c r="A28" s="21"/>
      <c r="B28" s="21"/>
      <c r="C28" s="18" t="s">
        <v>27</v>
      </c>
      <c r="D28" s="8" t="s">
        <v>28</v>
      </c>
      <c r="E28" s="8" t="s">
        <v>29</v>
      </c>
      <c r="F28" s="20">
        <v>465.0</v>
      </c>
    </row>
    <row r="29">
      <c r="A29" s="21"/>
      <c r="B29" s="21"/>
      <c r="C29" s="18" t="s">
        <v>77</v>
      </c>
      <c r="D29" s="13" t="s">
        <v>32</v>
      </c>
      <c r="E29" s="13" t="s">
        <v>78</v>
      </c>
      <c r="F29" s="17">
        <v>414.0</v>
      </c>
    </row>
    <row r="30">
      <c r="A30" s="21"/>
      <c r="B30" s="21"/>
      <c r="C30" s="18" t="s">
        <v>33</v>
      </c>
      <c r="D30" s="13" t="s">
        <v>34</v>
      </c>
      <c r="E30" s="13" t="s">
        <v>36</v>
      </c>
      <c r="F30" s="17">
        <v>234.0</v>
      </c>
    </row>
    <row r="31">
      <c r="A31" s="21"/>
      <c r="B31" s="21"/>
      <c r="C31" s="18" t="s">
        <v>79</v>
      </c>
      <c r="D31" s="8" t="s">
        <v>80</v>
      </c>
      <c r="E31" s="8" t="s">
        <v>81</v>
      </c>
      <c r="F31" s="20">
        <v>49.0</v>
      </c>
    </row>
    <row r="32">
      <c r="A32" s="21"/>
      <c r="B32" s="21"/>
      <c r="C32" s="18" t="s">
        <v>49</v>
      </c>
      <c r="D32" s="8" t="s">
        <v>96</v>
      </c>
      <c r="E32" s="8" t="s">
        <v>153</v>
      </c>
      <c r="F32" s="20">
        <v>822.0</v>
      </c>
    </row>
    <row r="33">
      <c r="A33" s="21"/>
      <c r="B33" s="21"/>
      <c r="C33" s="18" t="s">
        <v>41</v>
      </c>
      <c r="D33" s="25"/>
      <c r="E33" s="25"/>
      <c r="F33" s="20">
        <v>500.0</v>
      </c>
    </row>
    <row r="34">
      <c r="A34" s="21"/>
      <c r="B34" s="21"/>
      <c r="C34" s="18" t="s">
        <v>43</v>
      </c>
      <c r="D34" s="25"/>
      <c r="E34" s="25"/>
      <c r="F34" s="20">
        <v>500.0</v>
      </c>
    </row>
    <row r="35">
      <c r="A35" s="26"/>
      <c r="B35" s="26"/>
      <c r="C35" s="30">
        <f>sum(F27:F34)</f>
        <v>5528</v>
      </c>
      <c r="D35" s="32"/>
      <c r="E35" s="32"/>
      <c r="F35" s="33"/>
      <c r="G35" s="4">
        <v>9000.0</v>
      </c>
      <c r="H35" s="34">
        <f>G35-C35</f>
        <v>3472</v>
      </c>
      <c r="I35" s="34">
        <f>H35*9</f>
        <v>31248</v>
      </c>
    </row>
    <row r="36">
      <c r="A36" s="12">
        <v>5.0</v>
      </c>
      <c r="B36" s="45" t="s">
        <v>30</v>
      </c>
      <c r="C36" s="18" t="s">
        <v>24</v>
      </c>
      <c r="D36" s="8" t="s">
        <v>25</v>
      </c>
      <c r="E36" s="19" t="s">
        <v>26</v>
      </c>
      <c r="F36" s="20">
        <v>2544.0</v>
      </c>
    </row>
    <row r="37">
      <c r="A37" s="21"/>
      <c r="B37" s="21"/>
      <c r="C37" s="18" t="s">
        <v>27</v>
      </c>
      <c r="D37" s="8" t="s">
        <v>28</v>
      </c>
      <c r="E37" s="8" t="s">
        <v>29</v>
      </c>
      <c r="F37" s="20">
        <v>465.0</v>
      </c>
    </row>
    <row r="38">
      <c r="A38" s="21"/>
      <c r="B38" s="21"/>
      <c r="C38" s="18" t="s">
        <v>31</v>
      </c>
      <c r="D38" s="8" t="s">
        <v>32</v>
      </c>
      <c r="E38" s="8">
        <v>1.11</v>
      </c>
      <c r="F38" s="20">
        <v>166.5</v>
      </c>
    </row>
    <row r="39">
      <c r="A39" s="21"/>
      <c r="B39" s="21"/>
      <c r="C39" s="18" t="s">
        <v>33</v>
      </c>
      <c r="D39" s="13" t="s">
        <v>34</v>
      </c>
      <c r="E39" s="13" t="s">
        <v>36</v>
      </c>
      <c r="F39" s="17">
        <v>234.0</v>
      </c>
    </row>
    <row r="40">
      <c r="A40" s="21"/>
      <c r="B40" s="21"/>
      <c r="C40" s="18" t="s">
        <v>151</v>
      </c>
      <c r="D40" s="8" t="s">
        <v>152</v>
      </c>
      <c r="E40" s="8" t="s">
        <v>66</v>
      </c>
      <c r="F40" s="20">
        <v>297.0</v>
      </c>
    </row>
    <row r="41">
      <c r="A41" s="21"/>
      <c r="B41" s="21"/>
      <c r="C41" s="18" t="s">
        <v>41</v>
      </c>
      <c r="D41" s="25"/>
      <c r="E41" s="25"/>
      <c r="F41" s="20">
        <v>500.0</v>
      </c>
    </row>
    <row r="42">
      <c r="A42" s="21"/>
      <c r="B42" s="21"/>
      <c r="C42" s="18" t="s">
        <v>43</v>
      </c>
      <c r="D42" s="25"/>
      <c r="E42" s="25"/>
      <c r="F42" s="20">
        <v>500.0</v>
      </c>
    </row>
    <row r="43">
      <c r="A43" s="26"/>
      <c r="B43" s="26"/>
      <c r="C43" s="30">
        <f>sum(F36:F42)</f>
        <v>4706.5</v>
      </c>
      <c r="D43" s="32"/>
      <c r="E43" s="32"/>
      <c r="F43" s="33"/>
      <c r="G43" s="4">
        <v>9000.0</v>
      </c>
      <c r="H43" s="34">
        <f>G43-C43</f>
        <v>4293.5</v>
      </c>
      <c r="I43" s="34">
        <f>H43*9</f>
        <v>38641.5</v>
      </c>
    </row>
    <row r="44">
      <c r="A44" s="12">
        <v>6.0</v>
      </c>
      <c r="B44" s="45" t="s">
        <v>20</v>
      </c>
      <c r="C44" s="18" t="s">
        <v>24</v>
      </c>
      <c r="D44" s="8" t="s">
        <v>25</v>
      </c>
      <c r="E44" s="19" t="s">
        <v>26</v>
      </c>
      <c r="F44" s="20">
        <v>2544.0</v>
      </c>
    </row>
    <row r="45">
      <c r="A45" s="47"/>
      <c r="B45" s="48"/>
      <c r="C45" s="18" t="s">
        <v>27</v>
      </c>
      <c r="D45" s="8" t="s">
        <v>28</v>
      </c>
      <c r="E45" s="8" t="s">
        <v>29</v>
      </c>
      <c r="F45" s="20">
        <v>465.0</v>
      </c>
    </row>
    <row r="46">
      <c r="A46" s="47"/>
      <c r="B46" s="48"/>
      <c r="C46" s="18" t="s">
        <v>20</v>
      </c>
      <c r="D46" s="49"/>
      <c r="E46" s="49"/>
      <c r="F46" s="50">
        <v>362.0</v>
      </c>
    </row>
    <row r="47">
      <c r="A47" s="47"/>
      <c r="B47" s="48"/>
      <c r="C47" s="10" t="s">
        <v>71</v>
      </c>
      <c r="D47" s="49" t="s">
        <v>40</v>
      </c>
      <c r="E47" s="49" t="s">
        <v>115</v>
      </c>
      <c r="F47" s="51">
        <v>222.0</v>
      </c>
    </row>
    <row r="48">
      <c r="A48" s="47"/>
      <c r="B48" s="48"/>
      <c r="C48" s="18" t="s">
        <v>33</v>
      </c>
      <c r="D48" s="13" t="s">
        <v>34</v>
      </c>
      <c r="E48" s="13" t="s">
        <v>36</v>
      </c>
      <c r="F48" s="17">
        <v>234.0</v>
      </c>
    </row>
    <row r="49">
      <c r="A49" s="47"/>
      <c r="B49" s="48"/>
      <c r="C49" s="18" t="s">
        <v>84</v>
      </c>
      <c r="D49" s="52"/>
      <c r="E49" s="52"/>
      <c r="F49" s="51">
        <v>300.0</v>
      </c>
    </row>
    <row r="50">
      <c r="A50" s="47"/>
      <c r="B50" s="48"/>
      <c r="C50" s="18" t="s">
        <v>41</v>
      </c>
      <c r="D50" s="25"/>
      <c r="E50" s="25"/>
      <c r="F50" s="20">
        <v>500.0</v>
      </c>
    </row>
    <row r="51">
      <c r="A51" s="47"/>
      <c r="B51" s="48"/>
      <c r="C51" s="18" t="s">
        <v>43</v>
      </c>
      <c r="D51" s="25"/>
      <c r="E51" s="25"/>
      <c r="F51" s="20">
        <v>500.0</v>
      </c>
    </row>
    <row r="52">
      <c r="A52" s="53"/>
      <c r="B52" s="54"/>
      <c r="C52" s="30">
        <f>sum(F44:F51)</f>
        <v>5127</v>
      </c>
      <c r="D52" s="32"/>
      <c r="E52" s="32"/>
      <c r="F52" s="33"/>
      <c r="G52" s="4">
        <v>9000.0</v>
      </c>
      <c r="H52" s="34">
        <f>G52-C52</f>
        <v>3873</v>
      </c>
      <c r="I52" s="34">
        <f>H52*9</f>
        <v>34857</v>
      </c>
    </row>
    <row r="53">
      <c r="A53" s="12">
        <v>7.0</v>
      </c>
      <c r="B53" s="45" t="s">
        <v>42</v>
      </c>
      <c r="C53" s="18" t="s">
        <v>24</v>
      </c>
      <c r="D53" s="8" t="s">
        <v>25</v>
      </c>
      <c r="E53" s="19" t="s">
        <v>26</v>
      </c>
      <c r="F53" s="20">
        <v>2544.0</v>
      </c>
    </row>
    <row r="54">
      <c r="A54" s="47"/>
      <c r="B54" s="48"/>
      <c r="C54" s="18" t="s">
        <v>27</v>
      </c>
      <c r="D54" s="8" t="s">
        <v>28</v>
      </c>
      <c r="E54" s="8" t="s">
        <v>29</v>
      </c>
      <c r="F54" s="20">
        <v>465.0</v>
      </c>
    </row>
    <row r="55">
      <c r="A55" s="47"/>
      <c r="B55" s="48"/>
      <c r="C55" s="18" t="s">
        <v>20</v>
      </c>
      <c r="D55" s="49"/>
      <c r="E55" s="49"/>
      <c r="F55" s="50">
        <v>362.0</v>
      </c>
    </row>
    <row r="56">
      <c r="A56" s="47"/>
      <c r="B56" s="48"/>
      <c r="C56" s="10" t="s">
        <v>71</v>
      </c>
      <c r="D56" s="49" t="s">
        <v>121</v>
      </c>
      <c r="E56" s="49" t="s">
        <v>122</v>
      </c>
      <c r="F56" s="51">
        <v>111.0</v>
      </c>
    </row>
    <row r="57">
      <c r="A57" s="47"/>
      <c r="B57" s="48"/>
      <c r="C57" s="18" t="s">
        <v>33</v>
      </c>
      <c r="D57" s="13" t="s">
        <v>34</v>
      </c>
      <c r="E57" s="13" t="s">
        <v>36</v>
      </c>
      <c r="F57" s="17">
        <v>234.0</v>
      </c>
    </row>
    <row r="58">
      <c r="A58" s="47"/>
      <c r="B58" s="48"/>
      <c r="C58" s="18" t="s">
        <v>41</v>
      </c>
      <c r="D58" s="25"/>
      <c r="E58" s="25"/>
      <c r="F58" s="20">
        <v>500.0</v>
      </c>
    </row>
    <row r="59">
      <c r="A59" s="47"/>
      <c r="B59" s="48"/>
      <c r="C59" s="18" t="s">
        <v>43</v>
      </c>
      <c r="D59" s="25"/>
      <c r="E59" s="25"/>
      <c r="F59" s="20">
        <v>500.0</v>
      </c>
    </row>
    <row r="60">
      <c r="A60" s="47"/>
      <c r="B60" s="48"/>
      <c r="C60" s="18" t="s">
        <v>84</v>
      </c>
      <c r="D60" s="52"/>
      <c r="E60" s="52"/>
      <c r="F60" s="51">
        <v>300.0</v>
      </c>
    </row>
    <row r="61">
      <c r="A61" s="53"/>
      <c r="B61" s="54"/>
      <c r="C61" s="18" t="s">
        <v>31</v>
      </c>
      <c r="D61" s="8" t="s">
        <v>127</v>
      </c>
      <c r="E61" s="8" t="s">
        <v>128</v>
      </c>
      <c r="F61" s="20">
        <v>82.1</v>
      </c>
    </row>
    <row r="62">
      <c r="A62" s="46"/>
      <c r="B62" s="46"/>
      <c r="C62" s="30">
        <f>sum(F53:F61)</f>
        <v>5098.1</v>
      </c>
      <c r="D62" s="32"/>
      <c r="E62" s="32"/>
      <c r="F62" s="33"/>
      <c r="G62" s="4">
        <v>10000.0</v>
      </c>
      <c r="H62" s="34">
        <f>G62-C62</f>
        <v>4901.9</v>
      </c>
      <c r="I62" s="34">
        <f>H62*9</f>
        <v>44117.1</v>
      </c>
    </row>
    <row r="63">
      <c r="I63" s="34">
        <f>sum(I5:I62)</f>
        <v>250964.1</v>
      </c>
    </row>
  </sheetData>
  <mergeCells count="17">
    <mergeCell ref="B19:B26"/>
    <mergeCell ref="C26:F26"/>
    <mergeCell ref="A27:A35"/>
    <mergeCell ref="B27:B35"/>
    <mergeCell ref="C35:F35"/>
    <mergeCell ref="A36:A43"/>
    <mergeCell ref="B36:B43"/>
    <mergeCell ref="C43:F43"/>
    <mergeCell ref="C52:F52"/>
    <mergeCell ref="C62:F62"/>
    <mergeCell ref="A5:A11"/>
    <mergeCell ref="B5:B11"/>
    <mergeCell ref="C11:F11"/>
    <mergeCell ref="A12:A18"/>
    <mergeCell ref="B12:B18"/>
    <mergeCell ref="C18:F18"/>
    <mergeCell ref="A19:A2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14.88"/>
    <col customWidth="1" min="4" max="4" width="16.88"/>
    <col customWidth="1" min="5" max="5" width="16.25"/>
    <col customWidth="1" min="10" max="10" width="16.13"/>
  </cols>
  <sheetData>
    <row r="1">
      <c r="A1" s="2" t="s">
        <v>1</v>
      </c>
      <c r="B1" s="3"/>
    </row>
    <row r="3">
      <c r="A3" s="5" t="s">
        <v>3</v>
      </c>
    </row>
    <row r="4">
      <c r="A4" s="6" t="s">
        <v>9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19</v>
      </c>
      <c r="K4" s="4" t="s">
        <v>145</v>
      </c>
    </row>
    <row r="5">
      <c r="A5" s="12">
        <v>1.0</v>
      </c>
      <c r="B5" s="14" t="s">
        <v>8</v>
      </c>
      <c r="C5" s="18" t="s">
        <v>24</v>
      </c>
      <c r="D5" s="8" t="s">
        <v>25</v>
      </c>
      <c r="E5" s="19" t="s">
        <v>26</v>
      </c>
      <c r="F5" s="20">
        <v>2697.0</v>
      </c>
      <c r="K5" s="4" t="s">
        <v>146</v>
      </c>
      <c r="L5" s="55">
        <v>36000.0</v>
      </c>
    </row>
    <row r="6">
      <c r="A6" s="21"/>
      <c r="B6" s="21"/>
      <c r="C6" s="18" t="s">
        <v>27</v>
      </c>
      <c r="D6" s="8" t="s">
        <v>28</v>
      </c>
      <c r="E6" s="8" t="s">
        <v>29</v>
      </c>
      <c r="F6" s="20">
        <v>465.0</v>
      </c>
      <c r="K6" s="4" t="s">
        <v>154</v>
      </c>
      <c r="L6" s="55">
        <v>96492.0</v>
      </c>
    </row>
    <row r="7">
      <c r="A7" s="21"/>
      <c r="B7" s="21"/>
      <c r="C7" s="18" t="s">
        <v>31</v>
      </c>
      <c r="D7" s="8" t="s">
        <v>32</v>
      </c>
      <c r="E7" s="8">
        <v>1.11</v>
      </c>
      <c r="F7" s="20">
        <v>166.5</v>
      </c>
      <c r="K7" s="4" t="s">
        <v>155</v>
      </c>
      <c r="L7" s="55">
        <v>24500.0</v>
      </c>
    </row>
    <row r="8">
      <c r="A8" s="21"/>
      <c r="B8" s="21"/>
      <c r="C8" s="18" t="s">
        <v>33</v>
      </c>
      <c r="D8" s="13" t="s">
        <v>125</v>
      </c>
      <c r="E8" s="13" t="s">
        <v>156</v>
      </c>
      <c r="F8" s="17">
        <v>301.6</v>
      </c>
    </row>
    <row r="9">
      <c r="A9" s="21"/>
      <c r="B9" s="21"/>
      <c r="C9" s="18" t="s">
        <v>41</v>
      </c>
      <c r="D9" s="25"/>
      <c r="E9" s="25"/>
      <c r="F9" s="20">
        <v>500.0</v>
      </c>
    </row>
    <row r="10">
      <c r="A10" s="21"/>
      <c r="B10" s="21"/>
      <c r="C10" s="18" t="s">
        <v>43</v>
      </c>
      <c r="D10" s="25"/>
      <c r="E10" s="25"/>
      <c r="F10" s="20">
        <v>500.0</v>
      </c>
      <c r="K10" s="4" t="s">
        <v>148</v>
      </c>
    </row>
    <row r="11">
      <c r="A11" s="26"/>
      <c r="B11" s="26"/>
      <c r="C11" s="30">
        <f>sum(F5:F10)</f>
        <v>4630.1</v>
      </c>
      <c r="D11" s="32"/>
      <c r="E11" s="32"/>
      <c r="F11" s="33"/>
      <c r="G11" s="4">
        <v>8000.0</v>
      </c>
      <c r="H11" s="34">
        <f>G11-C11</f>
        <v>3369.9</v>
      </c>
      <c r="I11" s="34">
        <f>H11*9</f>
        <v>30329.1</v>
      </c>
      <c r="K11" s="4" t="s">
        <v>149</v>
      </c>
      <c r="L11" s="55">
        <v>3600.0</v>
      </c>
    </row>
    <row r="12">
      <c r="A12" s="35">
        <v>2.0</v>
      </c>
      <c r="B12" s="14" t="s">
        <v>61</v>
      </c>
      <c r="C12" s="18" t="s">
        <v>24</v>
      </c>
      <c r="D12" s="8" t="s">
        <v>25</v>
      </c>
      <c r="E12" s="19" t="s">
        <v>26</v>
      </c>
      <c r="F12" s="20">
        <v>2697.0</v>
      </c>
      <c r="K12" s="4" t="s">
        <v>160</v>
      </c>
      <c r="L12" s="55">
        <v>9650.0</v>
      </c>
    </row>
    <row r="13">
      <c r="A13" s="21"/>
      <c r="B13" s="21"/>
      <c r="C13" s="18" t="s">
        <v>27</v>
      </c>
      <c r="D13" s="8" t="s">
        <v>28</v>
      </c>
      <c r="E13" s="8" t="s">
        <v>29</v>
      </c>
      <c r="F13" s="20">
        <v>465.0</v>
      </c>
      <c r="K13" s="4" t="s">
        <v>161</v>
      </c>
      <c r="L13" s="55">
        <v>11025.0</v>
      </c>
    </row>
    <row r="14">
      <c r="A14" s="21"/>
      <c r="B14" s="21"/>
      <c r="C14" s="18" t="s">
        <v>63</v>
      </c>
      <c r="D14" s="8" t="s">
        <v>65</v>
      </c>
      <c r="E14" s="8" t="s">
        <v>66</v>
      </c>
      <c r="F14" s="20">
        <v>499.0</v>
      </c>
      <c r="L14" s="34">
        <f>sum(L11:L13)</f>
        <v>24275</v>
      </c>
      <c r="M14" s="34">
        <f>L14/9</f>
        <v>2697.222222</v>
      </c>
    </row>
    <row r="15">
      <c r="A15" s="21"/>
      <c r="B15" s="21"/>
      <c r="C15" s="18" t="s">
        <v>33</v>
      </c>
      <c r="D15" s="13" t="s">
        <v>125</v>
      </c>
      <c r="E15" s="13" t="s">
        <v>156</v>
      </c>
      <c r="F15" s="17">
        <v>301.6</v>
      </c>
    </row>
    <row r="16">
      <c r="A16" s="21"/>
      <c r="B16" s="21"/>
      <c r="C16" s="18" t="s">
        <v>41</v>
      </c>
      <c r="D16" s="25"/>
      <c r="E16" s="25"/>
      <c r="F16" s="20">
        <v>500.0</v>
      </c>
    </row>
    <row r="17">
      <c r="A17" s="21"/>
      <c r="B17" s="21"/>
      <c r="C17" s="18" t="s">
        <v>43</v>
      </c>
      <c r="D17" s="25"/>
      <c r="E17" s="25"/>
      <c r="F17" s="20">
        <v>500.0</v>
      </c>
    </row>
    <row r="18">
      <c r="A18" s="26"/>
      <c r="B18" s="26"/>
      <c r="C18" s="30">
        <f>sum(F12:F17)</f>
        <v>4962.6</v>
      </c>
      <c r="D18" s="32"/>
      <c r="E18" s="32"/>
      <c r="F18" s="33"/>
      <c r="G18" s="4">
        <v>9000.0</v>
      </c>
      <c r="H18" s="34">
        <f>G18-C18</f>
        <v>4037.4</v>
      </c>
      <c r="I18" s="34">
        <f>H18*9</f>
        <v>36336.6</v>
      </c>
    </row>
    <row r="19">
      <c r="A19" s="12">
        <v>3.0</v>
      </c>
      <c r="B19" s="14" t="s">
        <v>6</v>
      </c>
      <c r="C19" s="18" t="s">
        <v>24</v>
      </c>
      <c r="D19" s="8" t="s">
        <v>25</v>
      </c>
      <c r="E19" s="19" t="s">
        <v>26</v>
      </c>
      <c r="F19" s="20">
        <v>2697.0</v>
      </c>
    </row>
    <row r="20">
      <c r="A20" s="21"/>
      <c r="B20" s="21"/>
      <c r="C20" s="18" t="s">
        <v>27</v>
      </c>
      <c r="D20" s="8" t="s">
        <v>28</v>
      </c>
      <c r="E20" s="8" t="s">
        <v>29</v>
      </c>
      <c r="F20" s="20">
        <v>465.0</v>
      </c>
    </row>
    <row r="21">
      <c r="A21" s="21"/>
      <c r="B21" s="21"/>
      <c r="C21" s="18" t="s">
        <v>77</v>
      </c>
      <c r="D21" s="13" t="s">
        <v>32</v>
      </c>
      <c r="E21" s="13" t="s">
        <v>78</v>
      </c>
      <c r="F21" s="17">
        <v>414.0</v>
      </c>
    </row>
    <row r="22">
      <c r="A22" s="21"/>
      <c r="B22" s="21"/>
      <c r="C22" s="18" t="s">
        <v>33</v>
      </c>
      <c r="D22" s="13" t="s">
        <v>125</v>
      </c>
      <c r="E22" s="13" t="s">
        <v>156</v>
      </c>
      <c r="F22" s="17">
        <v>301.6</v>
      </c>
    </row>
    <row r="23">
      <c r="A23" s="21"/>
      <c r="B23" s="21"/>
      <c r="C23" s="18" t="s">
        <v>79</v>
      </c>
      <c r="D23" s="8" t="s">
        <v>80</v>
      </c>
      <c r="E23" s="8" t="s">
        <v>81</v>
      </c>
      <c r="F23" s="20">
        <v>49.0</v>
      </c>
    </row>
    <row r="24">
      <c r="A24" s="21"/>
      <c r="B24" s="21"/>
      <c r="C24" s="18" t="s">
        <v>41</v>
      </c>
      <c r="D24" s="25"/>
      <c r="E24" s="25"/>
      <c r="F24" s="20">
        <v>500.0</v>
      </c>
    </row>
    <row r="25">
      <c r="A25" s="21"/>
      <c r="B25" s="21"/>
      <c r="C25" s="18" t="s">
        <v>43</v>
      </c>
      <c r="D25" s="25"/>
      <c r="E25" s="25"/>
      <c r="F25" s="20">
        <v>500.0</v>
      </c>
    </row>
    <row r="26">
      <c r="A26" s="26"/>
      <c r="B26" s="26"/>
      <c r="C26" s="30">
        <f>sum(F19:F25)</f>
        <v>4926.6</v>
      </c>
      <c r="D26" s="32"/>
      <c r="E26" s="32"/>
      <c r="F26" s="33"/>
      <c r="G26" s="4">
        <v>8000.0</v>
      </c>
      <c r="H26" s="34">
        <f>G26-C26</f>
        <v>3073.4</v>
      </c>
      <c r="I26" s="34">
        <f>H26*9</f>
        <v>27660.6</v>
      </c>
    </row>
    <row r="27">
      <c r="A27" s="12">
        <v>4.0</v>
      </c>
      <c r="B27" s="45" t="s">
        <v>93</v>
      </c>
      <c r="C27" s="18" t="s">
        <v>24</v>
      </c>
      <c r="D27" s="8" t="s">
        <v>25</v>
      </c>
      <c r="E27" s="19" t="s">
        <v>26</v>
      </c>
      <c r="F27" s="20">
        <v>2697.0</v>
      </c>
    </row>
    <row r="28">
      <c r="A28" s="21"/>
      <c r="B28" s="21"/>
      <c r="C28" s="18" t="s">
        <v>27</v>
      </c>
      <c r="D28" s="8" t="s">
        <v>28</v>
      </c>
      <c r="E28" s="8" t="s">
        <v>29</v>
      </c>
      <c r="F28" s="20">
        <v>465.0</v>
      </c>
    </row>
    <row r="29">
      <c r="A29" s="21"/>
      <c r="B29" s="21"/>
      <c r="C29" s="18" t="s">
        <v>77</v>
      </c>
      <c r="D29" s="13" t="s">
        <v>32</v>
      </c>
      <c r="E29" s="13" t="s">
        <v>78</v>
      </c>
      <c r="F29" s="17">
        <v>414.0</v>
      </c>
    </row>
    <row r="30">
      <c r="A30" s="21"/>
      <c r="B30" s="21"/>
      <c r="C30" s="18" t="s">
        <v>33</v>
      </c>
      <c r="D30" s="13" t="s">
        <v>125</v>
      </c>
      <c r="E30" s="13" t="s">
        <v>156</v>
      </c>
      <c r="F30" s="17">
        <v>301.6</v>
      </c>
    </row>
    <row r="31">
      <c r="A31" s="21"/>
      <c r="B31" s="21"/>
      <c r="C31" s="18" t="s">
        <v>79</v>
      </c>
      <c r="D31" s="8" t="s">
        <v>80</v>
      </c>
      <c r="E31" s="8" t="s">
        <v>81</v>
      </c>
      <c r="F31" s="20">
        <v>49.0</v>
      </c>
    </row>
    <row r="32">
      <c r="A32" s="21"/>
      <c r="B32" s="21"/>
      <c r="C32" s="18" t="s">
        <v>49</v>
      </c>
      <c r="D32" s="8" t="s">
        <v>96</v>
      </c>
      <c r="E32" s="8" t="s">
        <v>153</v>
      </c>
      <c r="F32" s="20">
        <v>822.0</v>
      </c>
    </row>
    <row r="33">
      <c r="A33" s="21"/>
      <c r="B33" s="21"/>
      <c r="C33" s="18" t="s">
        <v>41</v>
      </c>
      <c r="D33" s="25"/>
      <c r="E33" s="25"/>
      <c r="F33" s="20">
        <v>500.0</v>
      </c>
    </row>
    <row r="34">
      <c r="A34" s="21"/>
      <c r="B34" s="21"/>
      <c r="C34" s="18" t="s">
        <v>43</v>
      </c>
      <c r="D34" s="25"/>
      <c r="E34" s="25"/>
      <c r="F34" s="20">
        <v>500.0</v>
      </c>
    </row>
    <row r="35">
      <c r="A35" s="26"/>
      <c r="B35" s="26"/>
      <c r="C35" s="30">
        <f>sum(F27:F34)</f>
        <v>5748.6</v>
      </c>
      <c r="D35" s="32"/>
      <c r="E35" s="32"/>
      <c r="F35" s="33"/>
      <c r="G35" s="4">
        <v>9000.0</v>
      </c>
      <c r="H35" s="34">
        <f>G35-C35</f>
        <v>3251.4</v>
      </c>
      <c r="I35" s="34">
        <f>H35*9</f>
        <v>29262.6</v>
      </c>
    </row>
    <row r="36">
      <c r="A36" s="12">
        <v>5.0</v>
      </c>
      <c r="B36" s="45" t="s">
        <v>30</v>
      </c>
      <c r="C36" s="18" t="s">
        <v>24</v>
      </c>
      <c r="D36" s="8" t="s">
        <v>25</v>
      </c>
      <c r="E36" s="19" t="s">
        <v>26</v>
      </c>
      <c r="F36" s="20">
        <v>2697.0</v>
      </c>
    </row>
    <row r="37">
      <c r="A37" s="21"/>
      <c r="B37" s="21"/>
      <c r="C37" s="18" t="s">
        <v>27</v>
      </c>
      <c r="D37" s="8" t="s">
        <v>28</v>
      </c>
      <c r="E37" s="8" t="s">
        <v>29</v>
      </c>
      <c r="F37" s="20">
        <v>465.0</v>
      </c>
    </row>
    <row r="38">
      <c r="A38" s="21"/>
      <c r="B38" s="21"/>
      <c r="C38" s="18" t="s">
        <v>31</v>
      </c>
      <c r="D38" s="8" t="s">
        <v>32</v>
      </c>
      <c r="E38" s="8">
        <v>1.11</v>
      </c>
      <c r="F38" s="20">
        <v>166.5</v>
      </c>
    </row>
    <row r="39">
      <c r="A39" s="21"/>
      <c r="B39" s="21"/>
      <c r="C39" s="18" t="s">
        <v>33</v>
      </c>
      <c r="D39" s="13" t="s">
        <v>125</v>
      </c>
      <c r="E39" s="13" t="s">
        <v>156</v>
      </c>
      <c r="F39" s="17">
        <v>301.6</v>
      </c>
    </row>
    <row r="40">
      <c r="A40" s="21"/>
      <c r="B40" s="21"/>
      <c r="C40" s="18" t="s">
        <v>63</v>
      </c>
      <c r="D40" s="8" t="s">
        <v>65</v>
      </c>
      <c r="E40" s="8" t="s">
        <v>66</v>
      </c>
      <c r="F40" s="20">
        <v>499.0</v>
      </c>
    </row>
    <row r="41">
      <c r="A41" s="21"/>
      <c r="B41" s="21"/>
      <c r="C41" s="18" t="s">
        <v>41</v>
      </c>
      <c r="D41" s="25"/>
      <c r="E41" s="25"/>
      <c r="F41" s="20">
        <v>500.0</v>
      </c>
    </row>
    <row r="42">
      <c r="A42" s="21"/>
      <c r="B42" s="21"/>
      <c r="C42" s="18" t="s">
        <v>43</v>
      </c>
      <c r="D42" s="25"/>
      <c r="E42" s="25"/>
      <c r="F42" s="20">
        <v>500.0</v>
      </c>
    </row>
    <row r="43">
      <c r="A43" s="26"/>
      <c r="B43" s="26"/>
      <c r="C43" s="30">
        <f>sum(F36:F42)</f>
        <v>5129.1</v>
      </c>
      <c r="D43" s="32"/>
      <c r="E43" s="32"/>
      <c r="F43" s="33"/>
      <c r="G43" s="4">
        <v>9000.0</v>
      </c>
      <c r="H43" s="34">
        <f>G43-C43</f>
        <v>3870.9</v>
      </c>
      <c r="I43" s="34">
        <f>H43*9</f>
        <v>34838.1</v>
      </c>
    </row>
    <row r="44">
      <c r="A44" s="12">
        <v>6.0</v>
      </c>
      <c r="B44" s="45" t="s">
        <v>20</v>
      </c>
      <c r="C44" s="18" t="s">
        <v>24</v>
      </c>
      <c r="D44" s="8" t="s">
        <v>25</v>
      </c>
      <c r="E44" s="19" t="s">
        <v>26</v>
      </c>
      <c r="F44" s="20">
        <v>2697.0</v>
      </c>
    </row>
    <row r="45">
      <c r="A45" s="47"/>
      <c r="B45" s="48"/>
      <c r="C45" s="18" t="s">
        <v>27</v>
      </c>
      <c r="D45" s="8" t="s">
        <v>28</v>
      </c>
      <c r="E45" s="8" t="s">
        <v>29</v>
      </c>
      <c r="F45" s="20">
        <v>465.0</v>
      </c>
    </row>
    <row r="46">
      <c r="A46" s="47"/>
      <c r="B46" s="48"/>
      <c r="C46" s="18" t="s">
        <v>20</v>
      </c>
      <c r="D46" s="49"/>
      <c r="E46" s="49"/>
      <c r="F46" s="50">
        <v>362.0</v>
      </c>
    </row>
    <row r="47">
      <c r="A47" s="47"/>
      <c r="B47" s="48"/>
      <c r="C47" s="10" t="s">
        <v>71</v>
      </c>
      <c r="D47" s="49" t="s">
        <v>40</v>
      </c>
      <c r="E47" s="49" t="s">
        <v>115</v>
      </c>
      <c r="F47" s="51">
        <v>222.0</v>
      </c>
    </row>
    <row r="48">
      <c r="A48" s="47"/>
      <c r="B48" s="48"/>
      <c r="C48" s="18" t="s">
        <v>33</v>
      </c>
      <c r="D48" s="13" t="s">
        <v>125</v>
      </c>
      <c r="E48" s="13" t="s">
        <v>156</v>
      </c>
      <c r="F48" s="17">
        <v>301.6</v>
      </c>
    </row>
    <row r="49">
      <c r="A49" s="47"/>
      <c r="B49" s="48"/>
      <c r="C49" s="18" t="s">
        <v>84</v>
      </c>
      <c r="D49" s="52"/>
      <c r="E49" s="52"/>
      <c r="F49" s="51">
        <v>300.0</v>
      </c>
    </row>
    <row r="50">
      <c r="A50" s="47"/>
      <c r="B50" s="48"/>
      <c r="C50" s="18" t="s">
        <v>41</v>
      </c>
      <c r="D50" s="25"/>
      <c r="E50" s="25"/>
      <c r="F50" s="20">
        <v>500.0</v>
      </c>
    </row>
    <row r="51">
      <c r="A51" s="47"/>
      <c r="B51" s="48"/>
      <c r="C51" s="18" t="s">
        <v>43</v>
      </c>
      <c r="D51" s="25"/>
      <c r="E51" s="25"/>
      <c r="F51" s="20">
        <v>500.0</v>
      </c>
    </row>
    <row r="52">
      <c r="A52" s="53"/>
      <c r="B52" s="54"/>
      <c r="C52" s="30">
        <f>sum(F44:F51)</f>
        <v>5347.6</v>
      </c>
      <c r="D52" s="32"/>
      <c r="E52" s="32"/>
      <c r="F52" s="33"/>
      <c r="G52" s="4">
        <v>9000.0</v>
      </c>
      <c r="H52" s="34">
        <f>G52-C52</f>
        <v>3652.4</v>
      </c>
      <c r="I52" s="34">
        <f>H52*9</f>
        <v>32871.6</v>
      </c>
    </row>
    <row r="53">
      <c r="A53" s="12">
        <v>7.0</v>
      </c>
      <c r="B53" s="45" t="s">
        <v>42</v>
      </c>
      <c r="C53" s="18" t="s">
        <v>24</v>
      </c>
      <c r="D53" s="8" t="s">
        <v>25</v>
      </c>
      <c r="E53" s="19" t="s">
        <v>26</v>
      </c>
      <c r="F53" s="20">
        <v>2697.0</v>
      </c>
    </row>
    <row r="54">
      <c r="A54" s="47"/>
      <c r="B54" s="48"/>
      <c r="C54" s="18" t="s">
        <v>27</v>
      </c>
      <c r="D54" s="8" t="s">
        <v>28</v>
      </c>
      <c r="E54" s="8" t="s">
        <v>29</v>
      </c>
      <c r="F54" s="20">
        <v>465.0</v>
      </c>
    </row>
    <row r="55">
      <c r="A55" s="47"/>
      <c r="B55" s="48"/>
      <c r="C55" s="18" t="s">
        <v>20</v>
      </c>
      <c r="D55" s="49"/>
      <c r="E55" s="49"/>
      <c r="F55" s="50">
        <v>362.0</v>
      </c>
    </row>
    <row r="56">
      <c r="A56" s="47"/>
      <c r="B56" s="48"/>
      <c r="C56" s="10" t="s">
        <v>71</v>
      </c>
      <c r="D56" s="49" t="s">
        <v>121</v>
      </c>
      <c r="E56" s="49" t="s">
        <v>122</v>
      </c>
      <c r="F56" s="51">
        <v>111.0</v>
      </c>
    </row>
    <row r="57">
      <c r="A57" s="47"/>
      <c r="B57" s="48"/>
      <c r="C57" s="18" t="s">
        <v>33</v>
      </c>
      <c r="D57" s="13" t="s">
        <v>125</v>
      </c>
      <c r="E57" s="13" t="s">
        <v>156</v>
      </c>
      <c r="F57" s="17">
        <v>301.6</v>
      </c>
    </row>
    <row r="58">
      <c r="A58" s="47"/>
      <c r="B58" s="48"/>
      <c r="C58" s="18" t="s">
        <v>41</v>
      </c>
      <c r="D58" s="25"/>
      <c r="E58" s="25"/>
      <c r="F58" s="20">
        <v>500.0</v>
      </c>
    </row>
    <row r="59">
      <c r="A59" s="47"/>
      <c r="B59" s="48"/>
      <c r="C59" s="18" t="s">
        <v>43</v>
      </c>
      <c r="D59" s="25"/>
      <c r="E59" s="25"/>
      <c r="F59" s="20">
        <v>500.0</v>
      </c>
    </row>
    <row r="60">
      <c r="A60" s="47"/>
      <c r="B60" s="48"/>
      <c r="C60" s="18" t="s">
        <v>84</v>
      </c>
      <c r="D60" s="52"/>
      <c r="E60" s="52"/>
      <c r="F60" s="51">
        <v>300.0</v>
      </c>
    </row>
    <row r="61">
      <c r="A61" s="53"/>
      <c r="B61" s="54"/>
      <c r="C61" s="18" t="s">
        <v>31</v>
      </c>
      <c r="D61" s="8" t="s">
        <v>127</v>
      </c>
      <c r="E61" s="8" t="s">
        <v>128</v>
      </c>
      <c r="F61" s="20">
        <v>82.1</v>
      </c>
    </row>
    <row r="62">
      <c r="A62" s="46"/>
      <c r="B62" s="46"/>
      <c r="C62" s="30">
        <f>sum(F53:F61)</f>
        <v>5318.7</v>
      </c>
      <c r="D62" s="32"/>
      <c r="E62" s="32"/>
      <c r="F62" s="33"/>
      <c r="G62" s="4">
        <v>10000.0</v>
      </c>
      <c r="H62" s="34">
        <f>G62-C62</f>
        <v>4681.3</v>
      </c>
      <c r="I62" s="34">
        <f>H62*9</f>
        <v>42131.7</v>
      </c>
    </row>
    <row r="63">
      <c r="I63" s="34">
        <f>sum(I5:I62)</f>
        <v>233430.3</v>
      </c>
    </row>
  </sheetData>
  <mergeCells count="17">
    <mergeCell ref="B19:B26"/>
    <mergeCell ref="C26:F26"/>
    <mergeCell ref="A27:A35"/>
    <mergeCell ref="B27:B35"/>
    <mergeCell ref="C35:F35"/>
    <mergeCell ref="A36:A43"/>
    <mergeCell ref="B36:B43"/>
    <mergeCell ref="C43:F43"/>
    <mergeCell ref="C52:F52"/>
    <mergeCell ref="C62:F62"/>
    <mergeCell ref="A5:A11"/>
    <mergeCell ref="B5:B11"/>
    <mergeCell ref="C11:F11"/>
    <mergeCell ref="A12:A18"/>
    <mergeCell ref="B12:B18"/>
    <mergeCell ref="C18:F18"/>
    <mergeCell ref="A19:A2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6.5"/>
    <col customWidth="1" min="3" max="3" width="14.88"/>
    <col customWidth="1" min="4" max="4" width="16.88"/>
    <col customWidth="1" min="5" max="5" width="16.25"/>
    <col customWidth="1" min="10" max="10" width="16.13"/>
  </cols>
  <sheetData>
    <row r="1">
      <c r="A1" s="2" t="s">
        <v>1</v>
      </c>
      <c r="B1" s="3"/>
    </row>
    <row r="3">
      <c r="A3" s="5" t="s">
        <v>3</v>
      </c>
    </row>
    <row r="4">
      <c r="A4" s="6" t="s">
        <v>9</v>
      </c>
      <c r="B4" s="6" t="s">
        <v>12</v>
      </c>
      <c r="C4" s="6" t="s">
        <v>15</v>
      </c>
      <c r="D4" s="6" t="s">
        <v>17</v>
      </c>
      <c r="E4" s="6" t="s">
        <v>18</v>
      </c>
      <c r="F4" s="6" t="s">
        <v>19</v>
      </c>
      <c r="G4" s="6" t="s">
        <v>157</v>
      </c>
      <c r="H4" s="6" t="s">
        <v>158</v>
      </c>
      <c r="I4" s="6" t="s">
        <v>159</v>
      </c>
      <c r="K4" s="4" t="s">
        <v>145</v>
      </c>
    </row>
    <row r="5">
      <c r="A5" s="12">
        <v>1.0</v>
      </c>
      <c r="B5" s="14" t="s">
        <v>8</v>
      </c>
      <c r="C5" s="18" t="s">
        <v>24</v>
      </c>
      <c r="D5" s="8" t="s">
        <v>25</v>
      </c>
      <c r="E5" s="19" t="s">
        <v>26</v>
      </c>
      <c r="F5" s="20">
        <v>2712.0</v>
      </c>
      <c r="K5" s="4" t="s">
        <v>146</v>
      </c>
      <c r="L5" s="55">
        <v>36000.0</v>
      </c>
    </row>
    <row r="6">
      <c r="A6" s="21"/>
      <c r="B6" s="21"/>
      <c r="C6" s="18" t="s">
        <v>27</v>
      </c>
      <c r="D6" s="8" t="s">
        <v>28</v>
      </c>
      <c r="E6" s="8" t="s">
        <v>29</v>
      </c>
      <c r="F6" s="20">
        <v>1170.0</v>
      </c>
      <c r="K6" s="4" t="s">
        <v>154</v>
      </c>
      <c r="L6" s="55">
        <v>96492.0</v>
      </c>
    </row>
    <row r="7">
      <c r="A7" s="21"/>
      <c r="B7" s="21"/>
      <c r="C7" s="18" t="s">
        <v>31</v>
      </c>
      <c r="D7" s="8" t="s">
        <v>32</v>
      </c>
      <c r="E7" s="8">
        <v>1.11</v>
      </c>
      <c r="F7" s="20">
        <v>166.5</v>
      </c>
      <c r="K7" s="4" t="s">
        <v>155</v>
      </c>
      <c r="L7" s="55">
        <v>24500.0</v>
      </c>
    </row>
    <row r="8">
      <c r="A8" s="21"/>
      <c r="B8" s="21"/>
      <c r="C8" s="18" t="s">
        <v>133</v>
      </c>
      <c r="D8" s="13" t="s">
        <v>34</v>
      </c>
      <c r="E8" s="13" t="s">
        <v>32</v>
      </c>
      <c r="F8" s="17">
        <v>260.0</v>
      </c>
    </row>
    <row r="9">
      <c r="A9" s="21"/>
      <c r="B9" s="21"/>
      <c r="C9" s="18" t="s">
        <v>41</v>
      </c>
      <c r="D9" s="25"/>
      <c r="E9" s="25"/>
      <c r="F9" s="20">
        <v>500.0</v>
      </c>
    </row>
    <row r="10">
      <c r="A10" s="21"/>
      <c r="B10" s="21"/>
      <c r="C10" s="18" t="s">
        <v>43</v>
      </c>
      <c r="D10" s="25"/>
      <c r="E10" s="25"/>
      <c r="F10" s="20">
        <v>500.0</v>
      </c>
      <c r="K10" s="4" t="s">
        <v>148</v>
      </c>
    </row>
    <row r="11">
      <c r="A11" s="26"/>
      <c r="B11" s="26"/>
      <c r="C11" s="30">
        <f>sum(F5:F10)</f>
        <v>5308.5</v>
      </c>
      <c r="D11" s="32"/>
      <c r="E11" s="32"/>
      <c r="F11" s="33"/>
      <c r="G11" s="4">
        <v>9000.0</v>
      </c>
      <c r="H11" s="56">
        <f>G11-C11</f>
        <v>3691.5</v>
      </c>
      <c r="I11" s="56">
        <f>H11*9</f>
        <v>33223.5</v>
      </c>
      <c r="K11" s="4" t="s">
        <v>162</v>
      </c>
      <c r="L11" s="55">
        <v>4500.0</v>
      </c>
    </row>
    <row r="12">
      <c r="A12" s="12">
        <v>2.0</v>
      </c>
      <c r="B12" s="14" t="s">
        <v>6</v>
      </c>
      <c r="C12" s="18" t="s">
        <v>24</v>
      </c>
      <c r="D12" s="8" t="s">
        <v>25</v>
      </c>
      <c r="E12" s="19" t="s">
        <v>26</v>
      </c>
      <c r="F12" s="20">
        <v>2712.0</v>
      </c>
      <c r="K12" s="4" t="s">
        <v>163</v>
      </c>
      <c r="L12" s="55">
        <v>10722.0</v>
      </c>
    </row>
    <row r="13">
      <c r="A13" s="21"/>
      <c r="B13" s="21"/>
      <c r="C13" s="18" t="s">
        <v>27</v>
      </c>
      <c r="D13" s="8" t="s">
        <v>28</v>
      </c>
      <c r="E13" s="8" t="s">
        <v>29</v>
      </c>
      <c r="F13" s="20">
        <v>1170.0</v>
      </c>
      <c r="K13" s="4" t="s">
        <v>164</v>
      </c>
      <c r="L13" s="55">
        <v>9188.0</v>
      </c>
    </row>
    <row r="14">
      <c r="A14" s="21"/>
      <c r="B14" s="21"/>
      <c r="C14" s="18" t="s">
        <v>77</v>
      </c>
      <c r="D14" s="13" t="s">
        <v>32</v>
      </c>
      <c r="E14" s="13" t="s">
        <v>78</v>
      </c>
      <c r="F14" s="17">
        <v>414.0</v>
      </c>
      <c r="L14" s="34">
        <f>sum(L11:L13)</f>
        <v>24410</v>
      </c>
      <c r="M14" s="34">
        <f>L14/9</f>
        <v>2712.222222</v>
      </c>
    </row>
    <row r="15">
      <c r="A15" s="21"/>
      <c r="B15" s="21"/>
      <c r="C15" s="18" t="s">
        <v>165</v>
      </c>
      <c r="D15" s="13" t="s">
        <v>34</v>
      </c>
      <c r="E15" s="13" t="s">
        <v>32</v>
      </c>
      <c r="F15" s="17">
        <v>260.0</v>
      </c>
    </row>
    <row r="16">
      <c r="A16" s="21"/>
      <c r="B16" s="21"/>
      <c r="C16" s="18" t="s">
        <v>79</v>
      </c>
      <c r="D16" s="8" t="s">
        <v>80</v>
      </c>
      <c r="E16" s="8" t="s">
        <v>81</v>
      </c>
      <c r="F16" s="20">
        <v>49.0</v>
      </c>
    </row>
    <row r="17">
      <c r="A17" s="21"/>
      <c r="B17" s="21"/>
      <c r="C17" s="18" t="s">
        <v>41</v>
      </c>
      <c r="D17" s="25"/>
      <c r="E17" s="25"/>
      <c r="F17" s="20">
        <v>500.0</v>
      </c>
    </row>
    <row r="18">
      <c r="A18" s="21"/>
      <c r="B18" s="21"/>
      <c r="C18" s="18" t="s">
        <v>43</v>
      </c>
      <c r="D18" s="25"/>
      <c r="E18" s="25"/>
      <c r="F18" s="20">
        <v>500.0</v>
      </c>
    </row>
    <row r="19">
      <c r="A19" s="26"/>
      <c r="B19" s="26"/>
      <c r="C19" s="30">
        <f>sum(F12:F18)</f>
        <v>5605</v>
      </c>
      <c r="D19" s="32"/>
      <c r="E19" s="32"/>
      <c r="F19" s="33"/>
      <c r="G19" s="4">
        <v>9000.0</v>
      </c>
      <c r="H19" s="34">
        <f>G19-C19</f>
        <v>3395</v>
      </c>
      <c r="I19" s="34">
        <f>H19*9</f>
        <v>30555</v>
      </c>
    </row>
    <row r="20">
      <c r="A20" s="35">
        <v>3.0</v>
      </c>
      <c r="B20" s="14" t="s">
        <v>61</v>
      </c>
      <c r="C20" s="18" t="s">
        <v>24</v>
      </c>
      <c r="D20" s="8" t="s">
        <v>25</v>
      </c>
      <c r="E20" s="19" t="s">
        <v>26</v>
      </c>
      <c r="F20" s="20">
        <v>2712.0</v>
      </c>
    </row>
    <row r="21">
      <c r="A21" s="21"/>
      <c r="B21" s="21"/>
      <c r="C21" s="18" t="s">
        <v>27</v>
      </c>
      <c r="D21" s="8" t="s">
        <v>28</v>
      </c>
      <c r="E21" s="8" t="s">
        <v>29</v>
      </c>
      <c r="F21" s="20">
        <v>1170.0</v>
      </c>
    </row>
    <row r="22">
      <c r="A22" s="21"/>
      <c r="B22" s="21"/>
      <c r="C22" s="18" t="s">
        <v>63</v>
      </c>
      <c r="D22" s="8" t="s">
        <v>167</v>
      </c>
      <c r="E22" s="8" t="s">
        <v>168</v>
      </c>
      <c r="F22" s="20">
        <v>441.0</v>
      </c>
    </row>
    <row r="23">
      <c r="A23" s="21"/>
      <c r="B23" s="21"/>
      <c r="C23" s="18" t="s">
        <v>133</v>
      </c>
      <c r="D23" s="13" t="s">
        <v>34</v>
      </c>
      <c r="E23" s="13" t="s">
        <v>32</v>
      </c>
      <c r="F23" s="17">
        <v>260.0</v>
      </c>
    </row>
    <row r="24">
      <c r="A24" s="21"/>
      <c r="B24" s="21"/>
      <c r="C24" s="18" t="s">
        <v>41</v>
      </c>
      <c r="D24" s="25"/>
      <c r="E24" s="25"/>
      <c r="F24" s="20">
        <v>500.0</v>
      </c>
    </row>
    <row r="25">
      <c r="A25" s="21"/>
      <c r="B25" s="21"/>
      <c r="C25" s="18" t="s">
        <v>43</v>
      </c>
      <c r="D25" s="25"/>
      <c r="E25" s="25"/>
      <c r="F25" s="20">
        <v>500.0</v>
      </c>
    </row>
    <row r="26">
      <c r="A26" s="26"/>
      <c r="B26" s="26"/>
      <c r="C26" s="30">
        <f>sum(F20:F25)</f>
        <v>5583</v>
      </c>
      <c r="D26" s="32"/>
      <c r="E26" s="32"/>
      <c r="F26" s="33"/>
      <c r="G26" s="4">
        <v>10000.0</v>
      </c>
      <c r="H26" s="34">
        <f>G26-C26</f>
        <v>4417</v>
      </c>
      <c r="I26" s="34">
        <f>H26*9</f>
        <v>39753</v>
      </c>
    </row>
    <row r="27">
      <c r="A27" s="12">
        <v>4.0</v>
      </c>
      <c r="B27" s="45" t="s">
        <v>93</v>
      </c>
      <c r="C27" s="18" t="s">
        <v>24</v>
      </c>
      <c r="D27" s="8" t="s">
        <v>25</v>
      </c>
      <c r="E27" s="19" t="s">
        <v>26</v>
      </c>
      <c r="F27" s="20">
        <v>2712.0</v>
      </c>
    </row>
    <row r="28">
      <c r="A28" s="21"/>
      <c r="B28" s="21"/>
      <c r="C28" s="18" t="s">
        <v>27</v>
      </c>
      <c r="D28" s="8" t="s">
        <v>28</v>
      </c>
      <c r="E28" s="8" t="s">
        <v>29</v>
      </c>
      <c r="F28" s="20">
        <v>1170.0</v>
      </c>
    </row>
    <row r="29">
      <c r="A29" s="21"/>
      <c r="B29" s="21"/>
      <c r="C29" s="18" t="s">
        <v>77</v>
      </c>
      <c r="D29" s="13" t="s">
        <v>32</v>
      </c>
      <c r="E29" s="13" t="s">
        <v>78</v>
      </c>
      <c r="F29" s="17">
        <v>414.0</v>
      </c>
    </row>
    <row r="30">
      <c r="A30" s="21"/>
      <c r="B30" s="21"/>
      <c r="C30" s="18" t="s">
        <v>165</v>
      </c>
      <c r="D30" s="13" t="s">
        <v>34</v>
      </c>
      <c r="E30" s="13" t="s">
        <v>32</v>
      </c>
      <c r="F30" s="17">
        <v>260.0</v>
      </c>
    </row>
    <row r="31">
      <c r="A31" s="21"/>
      <c r="B31" s="21"/>
      <c r="C31" s="18" t="s">
        <v>79</v>
      </c>
      <c r="D31" s="8" t="s">
        <v>80</v>
      </c>
      <c r="E31" s="8" t="s">
        <v>81</v>
      </c>
      <c r="F31" s="20">
        <v>49.0</v>
      </c>
    </row>
    <row r="32">
      <c r="A32" s="21"/>
      <c r="B32" s="21"/>
      <c r="C32" s="18" t="s">
        <v>49</v>
      </c>
      <c r="D32" s="8" t="s">
        <v>96</v>
      </c>
      <c r="E32" s="8" t="s">
        <v>153</v>
      </c>
      <c r="F32" s="20">
        <v>952.0</v>
      </c>
    </row>
    <row r="33">
      <c r="A33" s="21"/>
      <c r="B33" s="21"/>
      <c r="C33" s="18" t="s">
        <v>41</v>
      </c>
      <c r="D33" s="25"/>
      <c r="E33" s="25"/>
      <c r="F33" s="20">
        <v>500.0</v>
      </c>
    </row>
    <row r="34">
      <c r="A34" s="21"/>
      <c r="B34" s="21"/>
      <c r="C34" s="18" t="s">
        <v>43</v>
      </c>
      <c r="D34" s="25"/>
      <c r="E34" s="25"/>
      <c r="F34" s="20">
        <v>500.0</v>
      </c>
    </row>
    <row r="35">
      <c r="A35" s="26"/>
      <c r="B35" s="26"/>
      <c r="C35" s="30">
        <f>sum(F27:F34)</f>
        <v>6557</v>
      </c>
      <c r="D35" s="32"/>
      <c r="E35" s="32"/>
      <c r="F35" s="33"/>
      <c r="G35" s="4">
        <v>10000.0</v>
      </c>
      <c r="H35" s="34">
        <f>G35-C35</f>
        <v>3443</v>
      </c>
      <c r="I35" s="34">
        <f>H35*9</f>
        <v>30987</v>
      </c>
    </row>
    <row r="36">
      <c r="A36" s="12">
        <v>5.0</v>
      </c>
      <c r="B36" s="45" t="s">
        <v>30</v>
      </c>
      <c r="C36" s="18" t="s">
        <v>24</v>
      </c>
      <c r="D36" s="8" t="s">
        <v>25</v>
      </c>
      <c r="E36" s="19" t="s">
        <v>26</v>
      </c>
      <c r="F36" s="20">
        <v>2712.0</v>
      </c>
    </row>
    <row r="37">
      <c r="A37" s="21"/>
      <c r="B37" s="21"/>
      <c r="C37" s="18" t="s">
        <v>27</v>
      </c>
      <c r="D37" s="8" t="s">
        <v>28</v>
      </c>
      <c r="E37" s="8" t="s">
        <v>29</v>
      </c>
      <c r="F37" s="20">
        <v>1170.0</v>
      </c>
    </row>
    <row r="38">
      <c r="A38" s="21"/>
      <c r="B38" s="21"/>
      <c r="C38" s="18" t="s">
        <v>31</v>
      </c>
      <c r="D38" s="8" t="s">
        <v>32</v>
      </c>
      <c r="E38" s="8">
        <v>1.11</v>
      </c>
      <c r="F38" s="20">
        <v>166.5</v>
      </c>
    </row>
    <row r="39">
      <c r="A39" s="21"/>
      <c r="B39" s="21"/>
      <c r="C39" s="18" t="s">
        <v>133</v>
      </c>
      <c r="D39" s="13" t="s">
        <v>34</v>
      </c>
      <c r="E39" s="13" t="s">
        <v>32</v>
      </c>
      <c r="F39" s="17">
        <v>260.0</v>
      </c>
    </row>
    <row r="40">
      <c r="A40" s="21"/>
      <c r="B40" s="21"/>
      <c r="C40" s="18" t="s">
        <v>63</v>
      </c>
      <c r="D40" s="8" t="s">
        <v>167</v>
      </c>
      <c r="E40" s="8" t="s">
        <v>168</v>
      </c>
      <c r="F40" s="20">
        <v>441.0</v>
      </c>
    </row>
    <row r="41">
      <c r="A41" s="21"/>
      <c r="B41" s="21"/>
      <c r="C41" s="18" t="s">
        <v>41</v>
      </c>
      <c r="D41" s="25"/>
      <c r="E41" s="25"/>
      <c r="F41" s="20">
        <v>500.0</v>
      </c>
    </row>
    <row r="42">
      <c r="A42" s="21"/>
      <c r="B42" s="21"/>
      <c r="C42" s="18" t="s">
        <v>43</v>
      </c>
      <c r="D42" s="25"/>
      <c r="E42" s="25"/>
      <c r="F42" s="20">
        <v>500.0</v>
      </c>
    </row>
    <row r="43">
      <c r="A43" s="26"/>
      <c r="B43" s="26"/>
      <c r="C43" s="30">
        <f>sum(F36:F42)</f>
        <v>5749.5</v>
      </c>
      <c r="D43" s="32"/>
      <c r="E43" s="32"/>
      <c r="F43" s="33"/>
      <c r="G43" s="4">
        <v>10000.0</v>
      </c>
      <c r="H43" s="34">
        <f>G43-C43</f>
        <v>4250.5</v>
      </c>
      <c r="I43" s="34">
        <f>H43*9</f>
        <v>38254.5</v>
      </c>
    </row>
    <row r="44">
      <c r="A44" s="12">
        <v>6.0</v>
      </c>
      <c r="B44" s="45" t="s">
        <v>20</v>
      </c>
      <c r="C44" s="18" t="s">
        <v>24</v>
      </c>
      <c r="D44" s="8" t="s">
        <v>25</v>
      </c>
      <c r="E44" s="19" t="s">
        <v>26</v>
      </c>
      <c r="F44" s="20">
        <v>2712.0</v>
      </c>
    </row>
    <row r="45">
      <c r="A45" s="47"/>
      <c r="B45" s="48"/>
      <c r="C45" s="18" t="s">
        <v>27</v>
      </c>
      <c r="D45" s="8" t="s">
        <v>28</v>
      </c>
      <c r="E45" s="8" t="s">
        <v>29</v>
      </c>
      <c r="F45" s="20">
        <v>1170.0</v>
      </c>
    </row>
    <row r="46">
      <c r="A46" s="47"/>
      <c r="B46" s="48"/>
      <c r="C46" s="18" t="s">
        <v>20</v>
      </c>
      <c r="D46" s="49"/>
      <c r="E46" s="49"/>
      <c r="F46" s="50">
        <v>306.0</v>
      </c>
    </row>
    <row r="47">
      <c r="A47" s="47"/>
      <c r="B47" s="48"/>
      <c r="C47" s="10" t="s">
        <v>71</v>
      </c>
      <c r="D47" s="49" t="s">
        <v>40</v>
      </c>
      <c r="E47" s="49" t="s">
        <v>115</v>
      </c>
      <c r="F47" s="51">
        <v>197.0</v>
      </c>
    </row>
    <row r="48">
      <c r="A48" s="47"/>
      <c r="B48" s="48"/>
      <c r="C48" s="18" t="s">
        <v>133</v>
      </c>
      <c r="D48" s="13" t="s">
        <v>34</v>
      </c>
      <c r="E48" s="13" t="s">
        <v>32</v>
      </c>
      <c r="F48" s="17">
        <v>260.0</v>
      </c>
    </row>
    <row r="49">
      <c r="A49" s="47"/>
      <c r="B49" s="48"/>
      <c r="C49" s="18" t="s">
        <v>84</v>
      </c>
      <c r="D49" s="52"/>
      <c r="E49" s="52"/>
      <c r="F49" s="51">
        <v>300.0</v>
      </c>
    </row>
    <row r="50">
      <c r="A50" s="47"/>
      <c r="B50" s="48"/>
      <c r="C50" s="18" t="s">
        <v>41</v>
      </c>
      <c r="D50" s="25"/>
      <c r="E50" s="25"/>
      <c r="F50" s="20">
        <v>500.0</v>
      </c>
    </row>
    <row r="51">
      <c r="A51" s="47"/>
      <c r="B51" s="48"/>
      <c r="C51" s="18" t="s">
        <v>43</v>
      </c>
      <c r="D51" s="25"/>
      <c r="E51" s="25"/>
      <c r="F51" s="20">
        <v>500.0</v>
      </c>
    </row>
    <row r="52">
      <c r="A52" s="53"/>
      <c r="B52" s="54"/>
      <c r="C52" s="30">
        <f>sum(F44:F51)</f>
        <v>5945</v>
      </c>
      <c r="D52" s="32"/>
      <c r="E52" s="32"/>
      <c r="F52" s="33"/>
      <c r="G52" s="4">
        <v>10000.0</v>
      </c>
      <c r="H52" s="34">
        <f>G52-C52</f>
        <v>4055</v>
      </c>
      <c r="I52" s="34">
        <f>H52*9</f>
        <v>36495</v>
      </c>
    </row>
    <row r="53">
      <c r="A53" s="12">
        <v>7.0</v>
      </c>
      <c r="B53" s="45" t="s">
        <v>42</v>
      </c>
      <c r="C53" s="18" t="s">
        <v>24</v>
      </c>
      <c r="D53" s="8" t="s">
        <v>25</v>
      </c>
      <c r="E53" s="19" t="s">
        <v>26</v>
      </c>
      <c r="F53" s="20">
        <v>2712.0</v>
      </c>
    </row>
    <row r="54">
      <c r="A54" s="47"/>
      <c r="B54" s="48"/>
      <c r="C54" s="18" t="s">
        <v>27</v>
      </c>
      <c r="D54" s="8" t="s">
        <v>28</v>
      </c>
      <c r="E54" s="8" t="s">
        <v>29</v>
      </c>
      <c r="F54" s="20">
        <v>1170.0</v>
      </c>
    </row>
    <row r="55">
      <c r="A55" s="47"/>
      <c r="B55" s="48"/>
      <c r="C55" s="18" t="s">
        <v>20</v>
      </c>
      <c r="D55" s="49"/>
      <c r="E55" s="49"/>
      <c r="F55" s="50">
        <v>153.0</v>
      </c>
    </row>
    <row r="56">
      <c r="A56" s="47"/>
      <c r="B56" s="48"/>
      <c r="C56" s="10" t="s">
        <v>71</v>
      </c>
      <c r="D56" s="49" t="s">
        <v>121</v>
      </c>
      <c r="E56" s="49" t="s">
        <v>122</v>
      </c>
      <c r="F56" s="51">
        <v>98.0</v>
      </c>
    </row>
    <row r="57">
      <c r="A57" s="47"/>
      <c r="B57" s="48"/>
      <c r="C57" s="18" t="s">
        <v>133</v>
      </c>
      <c r="D57" s="13" t="s">
        <v>34</v>
      </c>
      <c r="E57" s="13" t="s">
        <v>32</v>
      </c>
      <c r="F57" s="17">
        <v>260.0</v>
      </c>
    </row>
    <row r="58">
      <c r="A58" s="47"/>
      <c r="B58" s="48"/>
      <c r="C58" s="18" t="s">
        <v>41</v>
      </c>
      <c r="D58" s="25"/>
      <c r="E58" s="25"/>
      <c r="F58" s="20">
        <v>500.0</v>
      </c>
    </row>
    <row r="59">
      <c r="A59" s="47"/>
      <c r="B59" s="48"/>
      <c r="C59" s="18" t="s">
        <v>43</v>
      </c>
      <c r="D59" s="25"/>
      <c r="E59" s="25"/>
      <c r="F59" s="20">
        <v>500.0</v>
      </c>
    </row>
    <row r="60">
      <c r="A60" s="47"/>
      <c r="B60" s="48"/>
      <c r="C60" s="18" t="s">
        <v>84</v>
      </c>
      <c r="D60" s="52"/>
      <c r="E60" s="52"/>
      <c r="F60" s="51">
        <v>300.0</v>
      </c>
    </row>
    <row r="61">
      <c r="A61" s="53"/>
      <c r="B61" s="54"/>
      <c r="C61" s="18" t="s">
        <v>31</v>
      </c>
      <c r="D61" s="8" t="s">
        <v>127</v>
      </c>
      <c r="E61" s="8" t="s">
        <v>128</v>
      </c>
      <c r="F61" s="20">
        <v>82.1</v>
      </c>
    </row>
    <row r="62">
      <c r="A62" s="46"/>
      <c r="B62" s="46"/>
      <c r="C62" s="30">
        <f>sum(F53:F61)</f>
        <v>5775.1</v>
      </c>
      <c r="D62" s="32"/>
      <c r="E62" s="32"/>
      <c r="F62" s="33"/>
      <c r="G62" s="4">
        <v>10000.0</v>
      </c>
      <c r="H62" s="34">
        <f>G62-C62</f>
        <v>4224.9</v>
      </c>
      <c r="I62" s="34">
        <f>H62*9</f>
        <v>38024.1</v>
      </c>
    </row>
    <row r="63">
      <c r="I63" s="34">
        <f>sum(I5:I62)</f>
        <v>247292.1</v>
      </c>
    </row>
  </sheetData>
  <mergeCells count="17">
    <mergeCell ref="B20:B26"/>
    <mergeCell ref="C26:F26"/>
    <mergeCell ref="A27:A35"/>
    <mergeCell ref="B27:B35"/>
    <mergeCell ref="C35:F35"/>
    <mergeCell ref="A36:A43"/>
    <mergeCell ref="B36:B43"/>
    <mergeCell ref="C43:F43"/>
    <mergeCell ref="C52:F52"/>
    <mergeCell ref="C62:F62"/>
    <mergeCell ref="A5:A11"/>
    <mergeCell ref="B5:B11"/>
    <mergeCell ref="C11:F11"/>
    <mergeCell ref="A12:A19"/>
    <mergeCell ref="B12:B19"/>
    <mergeCell ref="C19:F19"/>
    <mergeCell ref="A20:A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2.63" defaultRowHeight="15.75"/>
  <cols>
    <col customWidth="1" min="1" max="1" width="6.88"/>
    <col customWidth="1" min="2" max="2" width="14.25"/>
    <col customWidth="1" min="3" max="9" width="10.25"/>
    <col customWidth="1" min="10" max="10" width="9.13"/>
    <col customWidth="1" min="12" max="14" width="12.6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</row>
    <row r="2">
      <c r="C2" s="31"/>
      <c r="D2" s="31"/>
      <c r="E2" s="31"/>
      <c r="F2" s="31"/>
      <c r="G2" s="57"/>
      <c r="H2" s="57"/>
      <c r="I2" s="31"/>
    </row>
    <row r="3" ht="13.5" customHeight="1">
      <c r="A3" s="58"/>
      <c r="B3" s="58"/>
      <c r="C3" s="29"/>
      <c r="D3" s="29"/>
      <c r="E3" s="59"/>
      <c r="F3" s="57"/>
      <c r="G3" s="57"/>
      <c r="H3" s="57"/>
      <c r="I3" s="57"/>
      <c r="J3" s="58"/>
      <c r="K3" s="60"/>
      <c r="L3" s="60"/>
      <c r="M3" s="60"/>
      <c r="N3" s="60"/>
      <c r="O3" s="60"/>
      <c r="P3" s="60"/>
      <c r="Q3" s="60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</row>
    <row r="4" ht="13.5" customHeight="1">
      <c r="A4" s="58"/>
      <c r="B4" s="62" t="s">
        <v>166</v>
      </c>
      <c r="C4" s="63">
        <v>8000.0</v>
      </c>
      <c r="D4" s="63">
        <v>8000.0</v>
      </c>
      <c r="E4" s="63">
        <v>9000.0</v>
      </c>
      <c r="F4" s="63">
        <v>9000.0</v>
      </c>
      <c r="G4" s="63">
        <v>9000.0</v>
      </c>
      <c r="H4" s="63">
        <v>9000.0</v>
      </c>
      <c r="I4" s="63">
        <v>10000.0</v>
      </c>
      <c r="J4" s="58"/>
      <c r="K4" s="60"/>
      <c r="L4" s="58"/>
      <c r="M4" s="58"/>
      <c r="N4" s="58" t="s">
        <v>169</v>
      </c>
      <c r="O4" s="64">
        <f>'Modal Awal'!F62</f>
        <v>1847117</v>
      </c>
      <c r="P4" s="58" t="s">
        <v>170</v>
      </c>
      <c r="Q4" s="65">
        <f>O4-Q38</f>
        <v>863533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</row>
    <row r="5" ht="13.5" customHeight="1">
      <c r="A5" s="58"/>
      <c r="B5" s="62" t="s">
        <v>171</v>
      </c>
      <c r="C5" s="63">
        <v>9000.0</v>
      </c>
      <c r="D5" s="63">
        <v>9000.0</v>
      </c>
      <c r="E5" s="63">
        <v>10000.0</v>
      </c>
      <c r="F5" s="63">
        <v>10000.0</v>
      </c>
      <c r="G5" s="63">
        <v>10000.0</v>
      </c>
      <c r="H5" s="63">
        <v>10000.0</v>
      </c>
      <c r="I5" s="63">
        <v>10000.0</v>
      </c>
      <c r="J5" s="58"/>
      <c r="K5" s="58"/>
      <c r="L5" s="58"/>
      <c r="M5" s="58"/>
      <c r="N5" s="58"/>
      <c r="O5" s="58"/>
      <c r="P5" s="58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</row>
    <row r="6" ht="13.5" customHeight="1">
      <c r="A6" s="58"/>
      <c r="B6" s="62" t="s">
        <v>172</v>
      </c>
      <c r="C6" s="63">
        <f>'Resep Fix'!H19</f>
        <v>3395</v>
      </c>
      <c r="D6" s="66">
        <f>'Resep Fix'!H11</f>
        <v>3691.5</v>
      </c>
      <c r="E6" s="63">
        <f>'Resep Fix'!H26</f>
        <v>4417</v>
      </c>
      <c r="F6" s="63">
        <f>'Resep Fix'!H43</f>
        <v>4250.5</v>
      </c>
      <c r="G6" s="63">
        <f>'Resep Fix'!H35</f>
        <v>3443</v>
      </c>
      <c r="H6" s="63">
        <f>'Resep Fix'!H52</f>
        <v>4055</v>
      </c>
      <c r="I6" s="63">
        <f>'Resep Fix'!H62</f>
        <v>4224.9</v>
      </c>
      <c r="J6" s="58"/>
      <c r="K6" s="58"/>
      <c r="L6" s="58"/>
      <c r="M6" s="58"/>
      <c r="N6" s="58"/>
      <c r="O6" s="58"/>
      <c r="P6" s="58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</row>
    <row r="7" ht="45.75" customHeight="1">
      <c r="A7" s="62" t="s">
        <v>9</v>
      </c>
      <c r="B7" s="62" t="s">
        <v>173</v>
      </c>
      <c r="C7" s="62" t="s">
        <v>174</v>
      </c>
      <c r="D7" s="62" t="s">
        <v>8</v>
      </c>
      <c r="E7" s="62" t="s">
        <v>37</v>
      </c>
      <c r="F7" s="62" t="s">
        <v>175</v>
      </c>
      <c r="G7" s="62" t="s">
        <v>7</v>
      </c>
      <c r="H7" s="62" t="s">
        <v>20</v>
      </c>
      <c r="I7" s="62" t="s">
        <v>176</v>
      </c>
      <c r="J7" s="62" t="s">
        <v>177</v>
      </c>
      <c r="K7" s="62" t="s">
        <v>178</v>
      </c>
      <c r="L7" s="62" t="s">
        <v>178</v>
      </c>
      <c r="M7" s="62" t="s">
        <v>179</v>
      </c>
      <c r="N7" s="62" t="s">
        <v>180</v>
      </c>
      <c r="O7" s="62" t="s">
        <v>181</v>
      </c>
      <c r="P7" s="62" t="s">
        <v>182</v>
      </c>
      <c r="Q7" s="62" t="s">
        <v>183</v>
      </c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</row>
    <row r="8">
      <c r="A8" s="13">
        <v>1.0</v>
      </c>
      <c r="B8" s="13" t="s">
        <v>184</v>
      </c>
      <c r="C8" s="67">
        <v>3.0</v>
      </c>
      <c r="D8" s="67">
        <v>2.0</v>
      </c>
      <c r="E8" s="67">
        <v>3.0</v>
      </c>
      <c r="F8" s="67"/>
      <c r="G8" s="67">
        <v>2.0</v>
      </c>
      <c r="H8" s="67"/>
      <c r="I8" s="67">
        <v>3.0</v>
      </c>
      <c r="J8" s="13">
        <f t="shared" ref="J8:J37" si="1">sum(C8:I8)</f>
        <v>13</v>
      </c>
      <c r="K8" s="39">
        <f>(C8*C$4)+(D8*D$4)+(E8*E$4)+(F8*F$4)+(G8*G$4)+(H8*H$4)+(I8*I$4)-18000</f>
        <v>97000</v>
      </c>
      <c r="L8" s="68"/>
      <c r="M8" s="69">
        <f t="shared" ref="M8:M28" si="2">(C8*C$6)+(D8*D$6)+(E8*E$6)+(F8*F$6)+(G8*G$6)+(H8*H$6)+(I8*I$6)</f>
        <v>50379.7</v>
      </c>
      <c r="N8" s="70" t="s">
        <v>185</v>
      </c>
      <c r="O8" s="28">
        <f>(K8+K9+K10+K11)</f>
        <v>457000</v>
      </c>
      <c r="P8" s="28">
        <f>'Belanja per Batch'!F17</f>
        <v>292500</v>
      </c>
      <c r="Q8" s="28">
        <f t="shared" ref="Q8:Q37" si="3">O8-P8</f>
        <v>164500</v>
      </c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</row>
    <row r="9">
      <c r="A9" s="13">
        <f t="shared" ref="A9:A37" si="4">A8+1</f>
        <v>2</v>
      </c>
      <c r="B9" s="13" t="s">
        <v>186</v>
      </c>
      <c r="C9" s="67">
        <v>4.0</v>
      </c>
      <c r="D9" s="67">
        <v>5.0</v>
      </c>
      <c r="E9" s="67">
        <v>5.0</v>
      </c>
      <c r="F9" s="67">
        <v>3.0</v>
      </c>
      <c r="G9" s="67">
        <v>2.0</v>
      </c>
      <c r="H9" s="67">
        <v>2.0</v>
      </c>
      <c r="I9" s="67">
        <v>4.0</v>
      </c>
      <c r="J9" s="13">
        <f t="shared" si="1"/>
        <v>25</v>
      </c>
      <c r="K9" s="39">
        <f>(C9*C$4)+(D9*D$4)+(E9*E$4)+(F9*F$4)+(G9*G$4)+(H9*H$4)+(I9*I$4)-10000</f>
        <v>210000</v>
      </c>
      <c r="L9" s="68"/>
      <c r="M9" s="69">
        <f t="shared" si="2"/>
        <v>98769.6</v>
      </c>
      <c r="N9" s="71" t="s">
        <v>187</v>
      </c>
      <c r="O9" s="28">
        <f>K12+K13+K14+K15</f>
        <v>586000</v>
      </c>
      <c r="P9" s="28">
        <f>'Belanja per Batch'!F31</f>
        <v>259623</v>
      </c>
      <c r="Q9" s="28">
        <f t="shared" si="3"/>
        <v>326377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>
      <c r="A10" s="13">
        <f t="shared" si="4"/>
        <v>3</v>
      </c>
      <c r="B10" s="13" t="s">
        <v>188</v>
      </c>
      <c r="C10" s="67">
        <v>2.0</v>
      </c>
      <c r="D10" s="67">
        <v>2.0</v>
      </c>
      <c r="E10" s="67">
        <v>1.0</v>
      </c>
      <c r="F10" s="67">
        <v>3.0</v>
      </c>
      <c r="G10" s="67">
        <v>2.0</v>
      </c>
      <c r="H10" s="67">
        <v>2.0</v>
      </c>
      <c r="I10" s="67">
        <v>1.0</v>
      </c>
      <c r="J10" s="13">
        <f t="shared" si="1"/>
        <v>13</v>
      </c>
      <c r="K10" s="39">
        <f t="shared" ref="K10:K14" si="5">(C10*C$4)+(D10*D$4)+(E10*E$4)+(F10*F$4)+(G10*G$4)+(H10*H$4)+(I10*I$4)</f>
        <v>114000</v>
      </c>
      <c r="L10" s="68"/>
      <c r="M10" s="69">
        <f t="shared" si="2"/>
        <v>50562.4</v>
      </c>
      <c r="N10" s="72" t="s">
        <v>195</v>
      </c>
      <c r="O10" s="20">
        <f>K16+K17+K18+K19+K20</f>
        <v>369000</v>
      </c>
      <c r="P10" s="23">
        <f>'Belanja per Batch'!F46</f>
        <v>203842</v>
      </c>
      <c r="Q10" s="28">
        <f t="shared" si="3"/>
        <v>165158</v>
      </c>
    </row>
    <row r="11">
      <c r="A11" s="13">
        <f t="shared" si="4"/>
        <v>4</v>
      </c>
      <c r="B11" s="13" t="s">
        <v>204</v>
      </c>
      <c r="C11" s="67"/>
      <c r="D11" s="67"/>
      <c r="E11" s="67"/>
      <c r="F11" s="67">
        <v>2.0</v>
      </c>
      <c r="G11" s="67">
        <v>1.0</v>
      </c>
      <c r="H11" s="67">
        <v>1.0</v>
      </c>
      <c r="I11" s="67"/>
      <c r="J11" s="13">
        <f t="shared" si="1"/>
        <v>4</v>
      </c>
      <c r="K11" s="39">
        <f t="shared" si="5"/>
        <v>36000</v>
      </c>
      <c r="L11" s="68"/>
      <c r="M11" s="69">
        <f t="shared" si="2"/>
        <v>15999</v>
      </c>
      <c r="N11" s="75" t="s">
        <v>209</v>
      </c>
      <c r="O11" s="23">
        <f>K21</f>
        <v>379000</v>
      </c>
      <c r="P11" s="23">
        <f>'Belanja per Batch'!F61</f>
        <v>155500</v>
      </c>
      <c r="Q11" s="28">
        <f t="shared" si="3"/>
        <v>223500</v>
      </c>
    </row>
    <row r="12">
      <c r="A12" s="13">
        <f t="shared" si="4"/>
        <v>5</v>
      </c>
      <c r="B12" s="13" t="s">
        <v>215</v>
      </c>
      <c r="C12" s="76">
        <v>6.0</v>
      </c>
      <c r="D12" s="76"/>
      <c r="E12" s="76">
        <v>3.0</v>
      </c>
      <c r="F12" s="76"/>
      <c r="G12" s="76">
        <v>1.0</v>
      </c>
      <c r="H12" s="76">
        <v>3.0</v>
      </c>
      <c r="I12" s="76"/>
      <c r="J12" s="13">
        <f t="shared" si="1"/>
        <v>13</v>
      </c>
      <c r="K12" s="39">
        <f t="shared" si="5"/>
        <v>111000</v>
      </c>
      <c r="L12" s="68"/>
      <c r="M12" s="69">
        <f t="shared" si="2"/>
        <v>49229</v>
      </c>
      <c r="N12" s="77" t="s">
        <v>216</v>
      </c>
      <c r="O12" s="23">
        <f>K22+K23+K24+K25+K26+K27</f>
        <v>537000</v>
      </c>
      <c r="P12" s="23">
        <f>'Belanja per Batch'!F76</f>
        <v>120000</v>
      </c>
      <c r="Q12" s="28">
        <f t="shared" si="3"/>
        <v>417000</v>
      </c>
    </row>
    <row r="13">
      <c r="A13" s="13">
        <f t="shared" si="4"/>
        <v>6</v>
      </c>
      <c r="B13" s="13" t="s">
        <v>217</v>
      </c>
      <c r="C13" s="76">
        <v>3.0</v>
      </c>
      <c r="D13" s="76"/>
      <c r="E13" s="76">
        <v>3.0</v>
      </c>
      <c r="F13" s="76">
        <v>1.0</v>
      </c>
      <c r="G13" s="76"/>
      <c r="H13" s="76"/>
      <c r="I13" s="76">
        <v>4.0</v>
      </c>
      <c r="J13" s="13">
        <f t="shared" si="1"/>
        <v>11</v>
      </c>
      <c r="K13" s="39">
        <f t="shared" si="5"/>
        <v>100000</v>
      </c>
      <c r="L13" s="68"/>
      <c r="M13" s="69">
        <f t="shared" si="2"/>
        <v>44586.1</v>
      </c>
      <c r="N13" s="78" t="s">
        <v>218</v>
      </c>
      <c r="O13" s="23">
        <f>L25+L26+L27</f>
        <v>234000</v>
      </c>
      <c r="P13" s="23">
        <f>'Belanja per Batch'!F102</f>
        <v>786418</v>
      </c>
      <c r="Q13" s="28">
        <f t="shared" si="3"/>
        <v>-552418</v>
      </c>
    </row>
    <row r="14">
      <c r="A14" s="13">
        <f t="shared" si="4"/>
        <v>7</v>
      </c>
      <c r="B14" s="13" t="s">
        <v>219</v>
      </c>
      <c r="C14" s="76">
        <v>2.0</v>
      </c>
      <c r="D14" s="76">
        <v>1.0</v>
      </c>
      <c r="E14" s="76">
        <v>3.0</v>
      </c>
      <c r="F14" s="76"/>
      <c r="G14" s="76">
        <v>2.0</v>
      </c>
      <c r="H14" s="76"/>
      <c r="I14" s="76">
        <v>2.0</v>
      </c>
      <c r="J14" s="13">
        <f t="shared" si="1"/>
        <v>10</v>
      </c>
      <c r="K14" s="39">
        <f t="shared" si="5"/>
        <v>89000</v>
      </c>
      <c r="L14" s="68"/>
      <c r="M14" s="69">
        <f t="shared" si="2"/>
        <v>39068.3</v>
      </c>
      <c r="N14" s="79" t="s">
        <v>220</v>
      </c>
      <c r="O14" s="20">
        <f>K28+K29+K30+K31</f>
        <v>602000</v>
      </c>
      <c r="P14" s="20">
        <f>'Belanja per Batch'!F120</f>
        <v>656533</v>
      </c>
      <c r="Q14" s="80">
        <f t="shared" si="3"/>
        <v>-54533</v>
      </c>
    </row>
    <row r="15">
      <c r="A15" s="13">
        <f t="shared" si="4"/>
        <v>8</v>
      </c>
      <c r="B15" s="13" t="s">
        <v>221</v>
      </c>
      <c r="C15" s="76">
        <v>6.0</v>
      </c>
      <c r="D15" s="76">
        <v>7.0</v>
      </c>
      <c r="E15" s="76"/>
      <c r="F15" s="76">
        <v>8.0</v>
      </c>
      <c r="G15" s="76">
        <v>5.0</v>
      </c>
      <c r="H15" s="76">
        <v>5.0</v>
      </c>
      <c r="I15" s="76">
        <v>3.0</v>
      </c>
      <c r="J15" s="13">
        <f t="shared" si="1"/>
        <v>34</v>
      </c>
      <c r="K15" s="39">
        <f>(C15*C$4)+(D15*D$4)+(E15*E$4)+(F15*F$4)+(G15*G$4)+(H15*H$4)+(I15*I$4)-10000</f>
        <v>286000</v>
      </c>
      <c r="L15" s="68"/>
      <c r="M15" s="69">
        <f t="shared" si="2"/>
        <v>130379.2</v>
      </c>
      <c r="N15" s="81" t="s">
        <v>222</v>
      </c>
      <c r="O15" s="23">
        <f>L29+L30+L31+K32+K33</f>
        <v>294000</v>
      </c>
      <c r="P15" s="46"/>
      <c r="Q15" s="80">
        <f t="shared" si="3"/>
        <v>294000</v>
      </c>
    </row>
    <row r="16">
      <c r="A16" s="13">
        <f t="shared" si="4"/>
        <v>9</v>
      </c>
      <c r="B16" s="13" t="s">
        <v>223</v>
      </c>
      <c r="C16" s="82"/>
      <c r="D16" s="82"/>
      <c r="E16" s="82"/>
      <c r="F16" s="82"/>
      <c r="G16" s="82"/>
      <c r="H16" s="82"/>
      <c r="I16" s="82">
        <v>1.0</v>
      </c>
      <c r="J16" s="13">
        <f t="shared" si="1"/>
        <v>1</v>
      </c>
      <c r="K16" s="39">
        <f t="shared" ref="K16:K20" si="6">(C16*C$4)+(D16*D$4)+(E16*E$4)+(F16*F$4)+(G16*G$4)+(H16*H$4)+(I16*I$4)</f>
        <v>10000</v>
      </c>
      <c r="L16" s="68"/>
      <c r="M16" s="69">
        <f t="shared" si="2"/>
        <v>4224.9</v>
      </c>
      <c r="N16" s="83"/>
      <c r="O16" s="46"/>
      <c r="P16" s="46"/>
      <c r="Q16" s="80">
        <f t="shared" si="3"/>
        <v>0</v>
      </c>
    </row>
    <row r="17">
      <c r="A17" s="13">
        <f t="shared" si="4"/>
        <v>10</v>
      </c>
      <c r="B17" s="13" t="s">
        <v>224</v>
      </c>
      <c r="C17" s="82">
        <v>5.0</v>
      </c>
      <c r="D17" s="82">
        <v>3.0</v>
      </c>
      <c r="E17" s="82">
        <v>4.0</v>
      </c>
      <c r="F17" s="82">
        <v>1.0</v>
      </c>
      <c r="G17" s="84"/>
      <c r="H17" s="82">
        <v>2.0</v>
      </c>
      <c r="I17" s="82">
        <v>3.0</v>
      </c>
      <c r="J17" s="13">
        <f t="shared" si="1"/>
        <v>18</v>
      </c>
      <c r="K17" s="39">
        <f t="shared" si="6"/>
        <v>157000</v>
      </c>
      <c r="L17" s="85"/>
      <c r="M17" s="69">
        <f t="shared" si="2"/>
        <v>70752.7</v>
      </c>
      <c r="N17" s="86"/>
      <c r="O17" s="87"/>
      <c r="P17" s="87"/>
      <c r="Q17" s="80">
        <f t="shared" si="3"/>
        <v>0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</row>
    <row r="18">
      <c r="A18" s="13">
        <f t="shared" si="4"/>
        <v>11</v>
      </c>
      <c r="B18" s="88">
        <v>46296.0</v>
      </c>
      <c r="C18" s="82">
        <v>3.0</v>
      </c>
      <c r="D18" s="84"/>
      <c r="E18" s="82">
        <v>1.0</v>
      </c>
      <c r="F18" s="82">
        <v>3.0</v>
      </c>
      <c r="G18" s="84"/>
      <c r="H18" s="82">
        <v>3.0</v>
      </c>
      <c r="I18" s="82"/>
      <c r="J18" s="13">
        <f t="shared" si="1"/>
        <v>10</v>
      </c>
      <c r="K18" s="39">
        <f t="shared" si="6"/>
        <v>87000</v>
      </c>
      <c r="L18" s="85"/>
      <c r="M18" s="69">
        <f t="shared" si="2"/>
        <v>39518.5</v>
      </c>
      <c r="N18" s="68" t="s">
        <v>225</v>
      </c>
      <c r="O18" s="87"/>
      <c r="P18" s="87"/>
      <c r="Q18" s="80">
        <f t="shared" si="3"/>
        <v>0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</row>
    <row r="19">
      <c r="A19" s="13">
        <f t="shared" si="4"/>
        <v>12</v>
      </c>
      <c r="B19" s="88">
        <v>46297.0</v>
      </c>
      <c r="C19" s="84"/>
      <c r="D19" s="82">
        <v>2.0</v>
      </c>
      <c r="E19" s="82"/>
      <c r="F19" s="82">
        <v>1.0</v>
      </c>
      <c r="G19" s="84"/>
      <c r="H19" s="82">
        <v>2.0</v>
      </c>
      <c r="I19" s="82"/>
      <c r="J19" s="13">
        <f t="shared" si="1"/>
        <v>5</v>
      </c>
      <c r="K19" s="39">
        <f t="shared" si="6"/>
        <v>43000</v>
      </c>
      <c r="L19" s="85"/>
      <c r="M19" s="69">
        <f t="shared" si="2"/>
        <v>19743.5</v>
      </c>
      <c r="N19" s="86"/>
      <c r="O19" s="87"/>
      <c r="P19" s="87"/>
      <c r="Q19" s="80">
        <f t="shared" si="3"/>
        <v>0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</row>
    <row r="20">
      <c r="A20" s="13">
        <f t="shared" si="4"/>
        <v>13</v>
      </c>
      <c r="B20" s="88">
        <v>46298.0</v>
      </c>
      <c r="C20" s="84"/>
      <c r="D20" s="84"/>
      <c r="E20" s="82">
        <v>3.0</v>
      </c>
      <c r="F20" s="82">
        <v>3.0</v>
      </c>
      <c r="G20" s="84"/>
      <c r="H20" s="82">
        <v>2.0</v>
      </c>
      <c r="I20" s="84"/>
      <c r="J20" s="13">
        <f t="shared" si="1"/>
        <v>8</v>
      </c>
      <c r="K20" s="39">
        <f t="shared" si="6"/>
        <v>72000</v>
      </c>
      <c r="L20" s="85"/>
      <c r="M20" s="69">
        <f t="shared" si="2"/>
        <v>34112.5</v>
      </c>
      <c r="N20" s="86"/>
      <c r="O20" s="87"/>
      <c r="P20" s="87"/>
      <c r="Q20" s="80">
        <f t="shared" si="3"/>
        <v>0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</row>
    <row r="21">
      <c r="A21" s="13">
        <f t="shared" si="4"/>
        <v>14</v>
      </c>
      <c r="B21" s="88">
        <v>46299.0</v>
      </c>
      <c r="C21" s="89">
        <v>8.0</v>
      </c>
      <c r="D21" s="82">
        <v>4.0</v>
      </c>
      <c r="E21" s="89">
        <v>9.0</v>
      </c>
      <c r="F21" s="82">
        <v>1.0</v>
      </c>
      <c r="G21" s="89">
        <v>9.0</v>
      </c>
      <c r="H21" s="89">
        <v>8.0</v>
      </c>
      <c r="I21" s="82">
        <v>5.0</v>
      </c>
      <c r="J21" s="13">
        <f t="shared" si="1"/>
        <v>44</v>
      </c>
      <c r="K21" s="39">
        <f>(C21*C$4)+(D21*D$4)+(E21*E$4)+(F21*F$4)+(G21*G$4)+(H21*H$4)+(I21*I$4)-10000</f>
        <v>379000</v>
      </c>
      <c r="L21" s="85"/>
      <c r="M21" s="69">
        <f t="shared" si="2"/>
        <v>170481</v>
      </c>
      <c r="N21" s="86"/>
      <c r="O21" s="87"/>
      <c r="P21" s="87"/>
      <c r="Q21" s="80">
        <f t="shared" si="3"/>
        <v>0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>
      <c r="A22" s="13">
        <f t="shared" si="4"/>
        <v>15</v>
      </c>
      <c r="B22" s="88">
        <v>46300.0</v>
      </c>
      <c r="C22" s="90">
        <v>1.0</v>
      </c>
      <c r="D22" s="90">
        <v>1.0</v>
      </c>
      <c r="E22" s="90">
        <v>1.0</v>
      </c>
      <c r="F22" s="91"/>
      <c r="G22" s="90">
        <v>2.0</v>
      </c>
      <c r="H22" s="91"/>
      <c r="I22" s="91"/>
      <c r="J22" s="13">
        <f t="shared" si="1"/>
        <v>5</v>
      </c>
      <c r="K22" s="39">
        <f t="shared" ref="K22:K24" si="7">(C22*C$4)+(D22*D$4)+(E22*E$4)+(F22*F$4)+(G22*G$4)+(H22*H$4)+(I22*I$4)</f>
        <v>43000</v>
      </c>
      <c r="L22" s="85"/>
      <c r="M22" s="69">
        <f t="shared" si="2"/>
        <v>18389.5</v>
      </c>
      <c r="N22" s="86"/>
      <c r="O22" s="87"/>
      <c r="P22" s="87"/>
      <c r="Q22" s="80">
        <f t="shared" si="3"/>
        <v>0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</row>
    <row r="23">
      <c r="A23" s="13">
        <f t="shared" si="4"/>
        <v>16</v>
      </c>
      <c r="B23" s="88">
        <v>46301.0</v>
      </c>
      <c r="C23" s="90">
        <v>4.0</v>
      </c>
      <c r="D23" s="90">
        <v>2.0</v>
      </c>
      <c r="E23" s="90">
        <v>3.0</v>
      </c>
      <c r="F23" s="90">
        <v>1.0</v>
      </c>
      <c r="G23" s="90">
        <v>2.0</v>
      </c>
      <c r="H23" s="90">
        <v>2.0</v>
      </c>
      <c r="I23" s="90">
        <v>4.0</v>
      </c>
      <c r="J23" s="13">
        <f t="shared" si="1"/>
        <v>18</v>
      </c>
      <c r="K23" s="39">
        <f t="shared" si="7"/>
        <v>160000</v>
      </c>
      <c r="L23" s="85"/>
      <c r="M23" s="69">
        <f t="shared" si="2"/>
        <v>70360.1</v>
      </c>
      <c r="N23" s="86"/>
      <c r="O23" s="87"/>
      <c r="P23" s="87"/>
      <c r="Q23" s="80">
        <f t="shared" si="3"/>
        <v>0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</row>
    <row r="24">
      <c r="A24" s="13">
        <f t="shared" si="4"/>
        <v>17</v>
      </c>
      <c r="B24" s="88">
        <v>46302.0</v>
      </c>
      <c r="C24" s="90">
        <v>4.0</v>
      </c>
      <c r="D24" s="91"/>
      <c r="E24" s="90">
        <v>4.0</v>
      </c>
      <c r="F24" s="90">
        <v>4.0</v>
      </c>
      <c r="G24" s="90">
        <v>5.0</v>
      </c>
      <c r="H24" s="90">
        <v>3.0</v>
      </c>
      <c r="I24" s="90">
        <v>1.0</v>
      </c>
      <c r="J24" s="13">
        <f t="shared" si="1"/>
        <v>21</v>
      </c>
      <c r="K24" s="39">
        <f t="shared" si="7"/>
        <v>186000</v>
      </c>
      <c r="L24" s="85"/>
      <c r="M24" s="69">
        <f t="shared" si="2"/>
        <v>81854.9</v>
      </c>
      <c r="N24" s="86"/>
      <c r="O24" s="87"/>
      <c r="P24" s="87"/>
      <c r="Q24" s="80">
        <f t="shared" si="3"/>
        <v>0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</row>
    <row r="25">
      <c r="A25" s="13">
        <f t="shared" si="4"/>
        <v>18</v>
      </c>
      <c r="B25" s="88">
        <v>46303.0</v>
      </c>
      <c r="C25" s="92">
        <v>3.0</v>
      </c>
      <c r="D25" s="91"/>
      <c r="E25" s="90">
        <v>1.0</v>
      </c>
      <c r="F25" s="90">
        <v>1.0</v>
      </c>
      <c r="G25" s="92">
        <v>2.0</v>
      </c>
      <c r="H25" s="90">
        <v>1.0</v>
      </c>
      <c r="I25" s="90">
        <v>2.0</v>
      </c>
      <c r="J25" s="13">
        <f t="shared" si="1"/>
        <v>10</v>
      </c>
      <c r="K25" s="39">
        <f>(E25*E4)+(F25*F4)+(H25*H4)+(I25*I4)</f>
        <v>47000</v>
      </c>
      <c r="L25" s="93">
        <f>(C25*C4)+(G25*G4)</f>
        <v>42000</v>
      </c>
      <c r="M25" s="69">
        <f t="shared" si="2"/>
        <v>38243.3</v>
      </c>
      <c r="N25" s="86"/>
      <c r="O25" s="87"/>
      <c r="P25" s="87"/>
      <c r="Q25" s="80">
        <f t="shared" si="3"/>
        <v>0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</row>
    <row r="26">
      <c r="A26" s="13">
        <f t="shared" si="4"/>
        <v>19</v>
      </c>
      <c r="B26" s="88">
        <v>46304.0</v>
      </c>
      <c r="C26" s="94"/>
      <c r="D26" s="90">
        <v>2.0</v>
      </c>
      <c r="E26" s="92">
        <v>1.0</v>
      </c>
      <c r="F26" s="94"/>
      <c r="G26" s="92">
        <v>2.0</v>
      </c>
      <c r="H26" s="90">
        <v>2.0</v>
      </c>
      <c r="I26" s="94"/>
      <c r="J26" s="13">
        <f t="shared" si="1"/>
        <v>7</v>
      </c>
      <c r="K26" s="39">
        <f>(D26*D4)+(H26*H4)</f>
        <v>34000</v>
      </c>
      <c r="L26" s="93">
        <f>(E26*E4)+(G26*G4)</f>
        <v>27000</v>
      </c>
      <c r="M26" s="69">
        <f t="shared" si="2"/>
        <v>26796</v>
      </c>
      <c r="N26" s="86"/>
      <c r="O26" s="87"/>
      <c r="P26" s="87"/>
      <c r="Q26" s="80">
        <f t="shared" si="3"/>
        <v>0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>
      <c r="A27" s="13">
        <f t="shared" si="4"/>
        <v>20</v>
      </c>
      <c r="B27" s="88">
        <v>46305.0</v>
      </c>
      <c r="C27" s="92">
        <v>6.0</v>
      </c>
      <c r="D27" s="90">
        <v>2.0</v>
      </c>
      <c r="E27" s="92">
        <v>8.0</v>
      </c>
      <c r="F27" s="90">
        <v>3.0</v>
      </c>
      <c r="G27" s="92">
        <v>5.0</v>
      </c>
      <c r="H27" s="90">
        <v>1.0</v>
      </c>
      <c r="I27" s="90">
        <v>2.0</v>
      </c>
      <c r="J27" s="13">
        <f t="shared" si="1"/>
        <v>27</v>
      </c>
      <c r="K27" s="39">
        <f>(D27*D4)+(H27*H4)+(I27*I4)-5000+(F27*F4)</f>
        <v>67000</v>
      </c>
      <c r="L27" s="93">
        <f>(C27*C4)+(E27*E4)+(G27*G4)</f>
        <v>165000</v>
      </c>
      <c r="M27" s="69">
        <f t="shared" si="2"/>
        <v>105560.3</v>
      </c>
      <c r="N27" s="86"/>
      <c r="O27" s="87"/>
      <c r="P27" s="87"/>
      <c r="Q27" s="80">
        <f t="shared" si="3"/>
        <v>0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</row>
    <row r="28">
      <c r="A28" s="13">
        <f t="shared" si="4"/>
        <v>21</v>
      </c>
      <c r="B28" s="88">
        <v>46306.0</v>
      </c>
      <c r="C28" s="95">
        <v>9.0</v>
      </c>
      <c r="D28" s="95">
        <v>6.0</v>
      </c>
      <c r="E28" s="95">
        <v>9.0</v>
      </c>
      <c r="F28" s="95">
        <v>7.0</v>
      </c>
      <c r="G28" s="95">
        <v>5.0</v>
      </c>
      <c r="H28" s="95">
        <v>6.0</v>
      </c>
      <c r="I28" s="95">
        <v>4.0</v>
      </c>
      <c r="J28" s="13">
        <f t="shared" si="1"/>
        <v>46</v>
      </c>
      <c r="K28" s="39">
        <f>(C28*C$5)+(D28*D$5)+(E28*E$5)+(F28*F$5)+(G28*G$5)+(H28*H$5)+(I28*I$5)-10000</f>
        <v>435000</v>
      </c>
      <c r="L28" s="85"/>
      <c r="M28" s="69">
        <f t="shared" si="2"/>
        <v>180655.1</v>
      </c>
      <c r="N28" s="86"/>
      <c r="O28" s="87"/>
      <c r="P28" s="87"/>
      <c r="Q28" s="80">
        <f t="shared" si="3"/>
        <v>0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</row>
    <row r="29">
      <c r="A29" s="13">
        <f t="shared" si="4"/>
        <v>22</v>
      </c>
      <c r="B29" s="88">
        <v>46307.0</v>
      </c>
      <c r="C29" s="9">
        <v>4.0</v>
      </c>
      <c r="D29" s="95">
        <v>3.0</v>
      </c>
      <c r="E29" s="9">
        <v>1.0</v>
      </c>
      <c r="F29" s="95">
        <v>1.0</v>
      </c>
      <c r="G29" s="96"/>
      <c r="H29" s="96"/>
      <c r="I29" s="95">
        <v>3.0</v>
      </c>
      <c r="J29" s="13">
        <f t="shared" si="1"/>
        <v>12</v>
      </c>
      <c r="K29" s="39">
        <f>(D29*D$5)+(F29*F$5)+(G29*G$5)+(H29*H$5)+(I29*I$5)</f>
        <v>67000</v>
      </c>
      <c r="L29" s="93">
        <f>(C29*C$5)+(E29*E$5)</f>
        <v>46000</v>
      </c>
      <c r="M29" s="69">
        <f>(C29*C$6)+(D29*D$6)+(F29*F$6)+(G29*G$6)+(H29*H$6)+(I29*I$6)</f>
        <v>41579.7</v>
      </c>
      <c r="N29" s="86"/>
      <c r="O29" s="87"/>
      <c r="P29" s="87"/>
      <c r="Q29" s="80">
        <f t="shared" si="3"/>
        <v>0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</row>
    <row r="30">
      <c r="A30" s="13">
        <f t="shared" si="4"/>
        <v>23</v>
      </c>
      <c r="B30" s="88">
        <v>46308.0</v>
      </c>
      <c r="C30" s="9">
        <v>5.0</v>
      </c>
      <c r="D30" s="9">
        <v>1.0</v>
      </c>
      <c r="E30" s="9">
        <v>3.0</v>
      </c>
      <c r="F30" s="96"/>
      <c r="G30" s="95">
        <v>2.0</v>
      </c>
      <c r="H30" s="95">
        <v>1.0</v>
      </c>
      <c r="I30" s="95">
        <v>2.0</v>
      </c>
      <c r="J30" s="13">
        <f t="shared" si="1"/>
        <v>14</v>
      </c>
      <c r="K30" s="39">
        <f>(F30*F$5)+(G30*G$5)+(H30*H$5)+(I30*I$5)</f>
        <v>50000</v>
      </c>
      <c r="L30" s="93">
        <f>(C30*C5)+(D30*D5)+(E30*E5)</f>
        <v>84000</v>
      </c>
      <c r="M30" s="69">
        <f t="shared" ref="M30:M37" si="8">(C30*C$6)+(D30*D$6)+(E30*E$6)+(F30*F$6)+(G30*G$6)+(H30*H$6)+(I30*I$6)</f>
        <v>53308.3</v>
      </c>
      <c r="N30" s="86"/>
      <c r="O30" s="87"/>
      <c r="P30" s="87"/>
      <c r="Q30" s="80">
        <f t="shared" si="3"/>
        <v>0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>
      <c r="A31" s="13">
        <f t="shared" si="4"/>
        <v>24</v>
      </c>
      <c r="B31" s="88">
        <v>46309.0</v>
      </c>
      <c r="C31" s="97"/>
      <c r="D31" s="9">
        <v>2.0</v>
      </c>
      <c r="E31" s="9">
        <v>2.0</v>
      </c>
      <c r="F31" s="95">
        <v>1.0</v>
      </c>
      <c r="G31" s="95">
        <v>2.0</v>
      </c>
      <c r="H31" s="95">
        <v>2.0</v>
      </c>
      <c r="I31" s="9"/>
      <c r="J31" s="13">
        <f t="shared" si="1"/>
        <v>9</v>
      </c>
      <c r="K31" s="39">
        <f>(F31*F$5)+(G31*G$5)+(H31*H$5)</f>
        <v>50000</v>
      </c>
      <c r="L31" s="39">
        <f>(C31*C5)+(D31*D$5)+(E31*E$5)+(I31*I$5)</f>
        <v>38000</v>
      </c>
      <c r="M31" s="69">
        <f t="shared" si="8"/>
        <v>35463.5</v>
      </c>
      <c r="N31" s="86"/>
      <c r="O31" s="87"/>
      <c r="P31" s="87"/>
      <c r="Q31" s="80">
        <f t="shared" si="3"/>
        <v>0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</row>
    <row r="32">
      <c r="A32" s="13">
        <f t="shared" si="4"/>
        <v>25</v>
      </c>
      <c r="B32" s="88">
        <v>46310.0</v>
      </c>
      <c r="C32" s="97"/>
      <c r="D32" s="97"/>
      <c r="E32" s="97"/>
      <c r="F32" s="9">
        <v>1.0</v>
      </c>
      <c r="G32" s="9">
        <v>2.0</v>
      </c>
      <c r="H32" s="9"/>
      <c r="I32" s="97"/>
      <c r="J32" s="13">
        <f t="shared" si="1"/>
        <v>3</v>
      </c>
      <c r="K32" s="39">
        <f t="shared" ref="K32:K33" si="9">(C32*C$5)+(D32*D$5)+(E32*E$5)+(F32*F$5)+(G32*G$5)+(H32*H$5)+(I32*I$5)</f>
        <v>30000</v>
      </c>
      <c r="L32" s="85"/>
      <c r="M32" s="69">
        <f t="shared" si="8"/>
        <v>11136.5</v>
      </c>
      <c r="N32" s="86"/>
      <c r="O32" s="87"/>
      <c r="P32" s="87"/>
      <c r="Q32" s="80">
        <f t="shared" si="3"/>
        <v>0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</row>
    <row r="33">
      <c r="A33" s="13">
        <f t="shared" si="4"/>
        <v>26</v>
      </c>
      <c r="B33" s="88">
        <v>46311.0</v>
      </c>
      <c r="C33" s="9">
        <v>2.0</v>
      </c>
      <c r="D33" s="9">
        <v>2.0</v>
      </c>
      <c r="E33" s="9">
        <v>2.0</v>
      </c>
      <c r="F33" s="97"/>
      <c r="G33" s="97"/>
      <c r="H33" s="9">
        <v>4.0</v>
      </c>
      <c r="I33" s="97"/>
      <c r="J33" s="13">
        <f t="shared" si="1"/>
        <v>10</v>
      </c>
      <c r="K33" s="39">
        <f t="shared" si="9"/>
        <v>96000</v>
      </c>
      <c r="L33" s="85"/>
      <c r="M33" s="69">
        <f t="shared" si="8"/>
        <v>39227</v>
      </c>
      <c r="N33" s="86"/>
      <c r="O33" s="87"/>
      <c r="P33" s="87"/>
      <c r="Q33" s="80">
        <f t="shared" si="3"/>
        <v>0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</row>
    <row r="34">
      <c r="A34" s="13">
        <f t="shared" si="4"/>
        <v>27</v>
      </c>
      <c r="B34" s="88">
        <v>46312.0</v>
      </c>
      <c r="C34" s="43"/>
      <c r="D34" s="43"/>
      <c r="E34" s="43"/>
      <c r="F34" s="43"/>
      <c r="G34" s="43"/>
      <c r="H34" s="43"/>
      <c r="I34" s="43"/>
      <c r="J34" s="13">
        <f t="shared" si="1"/>
        <v>0</v>
      </c>
      <c r="K34" s="39">
        <f t="shared" ref="K34:K37" si="10">(C34*C$4)+(D34*D$4)+(E34*E$4)+(F34*F$4)+(G34*G$4)+(H34*H$4)+(I34*I$4)</f>
        <v>0</v>
      </c>
      <c r="L34" s="85"/>
      <c r="M34" s="69">
        <f t="shared" si="8"/>
        <v>0</v>
      </c>
      <c r="N34" s="86"/>
      <c r="O34" s="87"/>
      <c r="P34" s="87"/>
      <c r="Q34" s="80">
        <f t="shared" si="3"/>
        <v>0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</row>
    <row r="35">
      <c r="A35" s="13">
        <f t="shared" si="4"/>
        <v>28</v>
      </c>
      <c r="B35" s="88">
        <v>46313.0</v>
      </c>
      <c r="C35" s="43"/>
      <c r="D35" s="43"/>
      <c r="E35" s="43"/>
      <c r="F35" s="43"/>
      <c r="G35" s="43"/>
      <c r="H35" s="43"/>
      <c r="I35" s="43"/>
      <c r="J35" s="13">
        <f t="shared" si="1"/>
        <v>0</v>
      </c>
      <c r="K35" s="39">
        <f t="shared" si="10"/>
        <v>0</v>
      </c>
      <c r="L35" s="85"/>
      <c r="M35" s="69">
        <f t="shared" si="8"/>
        <v>0</v>
      </c>
      <c r="N35" s="86"/>
      <c r="O35" s="87"/>
      <c r="P35" s="87"/>
      <c r="Q35" s="80">
        <f t="shared" si="3"/>
        <v>0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</row>
    <row r="36">
      <c r="A36" s="13">
        <f t="shared" si="4"/>
        <v>29</v>
      </c>
      <c r="B36" s="88">
        <v>46314.0</v>
      </c>
      <c r="C36" s="43"/>
      <c r="D36" s="43"/>
      <c r="E36" s="43"/>
      <c r="F36" s="43"/>
      <c r="G36" s="43"/>
      <c r="H36" s="43"/>
      <c r="I36" s="43"/>
      <c r="J36" s="13">
        <f t="shared" si="1"/>
        <v>0</v>
      </c>
      <c r="K36" s="39">
        <f t="shared" si="10"/>
        <v>0</v>
      </c>
      <c r="L36" s="68"/>
      <c r="M36" s="69">
        <f t="shared" si="8"/>
        <v>0</v>
      </c>
      <c r="N36" s="86"/>
      <c r="O36" s="87"/>
      <c r="P36" s="87"/>
      <c r="Q36" s="80">
        <f t="shared" si="3"/>
        <v>0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</row>
    <row r="37">
      <c r="A37" s="13">
        <f t="shared" si="4"/>
        <v>30</v>
      </c>
      <c r="B37" s="88">
        <v>46315.0</v>
      </c>
      <c r="C37" s="43"/>
      <c r="D37" s="43"/>
      <c r="E37" s="43"/>
      <c r="F37" s="43"/>
      <c r="G37" s="43"/>
      <c r="H37" s="43"/>
      <c r="I37" s="43"/>
      <c r="J37" s="13">
        <f t="shared" si="1"/>
        <v>0</v>
      </c>
      <c r="K37" s="39">
        <f t="shared" si="10"/>
        <v>0</v>
      </c>
      <c r="L37" s="68"/>
      <c r="M37" s="69">
        <f t="shared" si="8"/>
        <v>0</v>
      </c>
      <c r="N37" s="86"/>
      <c r="O37" s="87"/>
      <c r="P37" s="87"/>
      <c r="Q37" s="80">
        <f t="shared" si="3"/>
        <v>0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</row>
    <row r="38">
      <c r="A38" s="98" t="s">
        <v>226</v>
      </c>
      <c r="B38" s="33"/>
      <c r="C38" s="99">
        <f t="shared" ref="C38:M38" si="11">sum(C8:C37)</f>
        <v>80</v>
      </c>
      <c r="D38" s="99">
        <f t="shared" si="11"/>
        <v>47</v>
      </c>
      <c r="E38" s="99">
        <f t="shared" si="11"/>
        <v>70</v>
      </c>
      <c r="F38" s="99">
        <f t="shared" si="11"/>
        <v>45</v>
      </c>
      <c r="G38" s="99">
        <f t="shared" si="11"/>
        <v>53</v>
      </c>
      <c r="H38" s="99">
        <f t="shared" si="11"/>
        <v>52</v>
      </c>
      <c r="I38" s="99">
        <f t="shared" si="11"/>
        <v>44</v>
      </c>
      <c r="J38" s="99">
        <f t="shared" si="11"/>
        <v>391</v>
      </c>
      <c r="K38" s="100">
        <f t="shared" si="11"/>
        <v>3056000</v>
      </c>
      <c r="L38" s="100">
        <f t="shared" si="11"/>
        <v>402000</v>
      </c>
      <c r="M38" s="100">
        <f t="shared" si="11"/>
        <v>1520380.6</v>
      </c>
      <c r="N38" s="99"/>
      <c r="O38" s="100">
        <f t="shared" ref="O38:Q38" si="12">sum(O8:O37)</f>
        <v>3458000</v>
      </c>
      <c r="P38" s="100">
        <f t="shared" si="12"/>
        <v>2474416</v>
      </c>
      <c r="Q38" s="100">
        <f t="shared" si="12"/>
        <v>983584</v>
      </c>
    </row>
    <row r="39">
      <c r="A39" s="101"/>
      <c r="B39" s="102" t="s">
        <v>227</v>
      </c>
      <c r="C39" s="81">
        <v>7.0</v>
      </c>
      <c r="D39" s="81">
        <v>4.0</v>
      </c>
      <c r="E39" s="81">
        <v>9.0</v>
      </c>
      <c r="F39" s="81">
        <v>8.0</v>
      </c>
      <c r="G39" s="81">
        <v>6.0</v>
      </c>
      <c r="H39" s="81">
        <v>5.0</v>
      </c>
      <c r="I39" s="81">
        <v>9.0</v>
      </c>
      <c r="J39" s="68">
        <f t="shared" ref="J39:J47" si="13">sum(C39:I39)</f>
        <v>48</v>
      </c>
      <c r="K39" s="39">
        <f t="shared" ref="K39:K48" si="14">(C39*C$4)+(D39*D$4)+(E39*E$4)+(F39*F$4)+(G39*G$4)+(H39*H$4)+(I39*I$4)</f>
        <v>430000</v>
      </c>
      <c r="L39" s="101"/>
      <c r="M39" s="101"/>
      <c r="N39" s="101"/>
      <c r="O39" s="101"/>
      <c r="P39" s="101"/>
      <c r="Q39" s="101"/>
    </row>
    <row r="40">
      <c r="A40" s="103" t="s">
        <v>228</v>
      </c>
      <c r="B40" s="104" t="s">
        <v>185</v>
      </c>
      <c r="C40" s="105"/>
      <c r="D40" s="105"/>
      <c r="E40" s="105"/>
      <c r="F40" s="70">
        <v>1.0</v>
      </c>
      <c r="G40" s="70">
        <v>2.0</v>
      </c>
      <c r="H40" s="70">
        <v>4.0</v>
      </c>
      <c r="I40" s="70">
        <v>1.0</v>
      </c>
      <c r="J40" s="68">
        <f t="shared" si="13"/>
        <v>8</v>
      </c>
      <c r="K40" s="39">
        <f t="shared" si="14"/>
        <v>73000</v>
      </c>
      <c r="L40" s="101"/>
      <c r="M40" s="101"/>
      <c r="N40" s="101"/>
      <c r="O40" s="101"/>
      <c r="P40" s="101"/>
      <c r="Q40" s="101"/>
    </row>
    <row r="41">
      <c r="A41" s="21"/>
      <c r="B41" s="106" t="s">
        <v>187</v>
      </c>
      <c r="C41" s="71">
        <v>1.0</v>
      </c>
      <c r="D41" s="71">
        <v>1.0</v>
      </c>
      <c r="E41" s="107"/>
      <c r="F41" s="107"/>
      <c r="G41" s="71">
        <v>1.0</v>
      </c>
      <c r="H41" s="71">
        <v>1.0</v>
      </c>
      <c r="I41" s="107"/>
      <c r="J41" s="68">
        <f t="shared" si="13"/>
        <v>4</v>
      </c>
      <c r="K41" s="39">
        <f t="shared" si="14"/>
        <v>34000</v>
      </c>
      <c r="L41" s="101"/>
      <c r="M41" s="101"/>
      <c r="N41" s="101"/>
      <c r="O41" s="101"/>
      <c r="P41" s="101"/>
      <c r="Q41" s="101"/>
    </row>
    <row r="42">
      <c r="A42" s="21"/>
      <c r="B42" s="108" t="s">
        <v>195</v>
      </c>
      <c r="C42" s="72">
        <v>1.0</v>
      </c>
      <c r="D42" s="109"/>
      <c r="E42" s="72">
        <v>1.0</v>
      </c>
      <c r="F42" s="109"/>
      <c r="G42" s="109"/>
      <c r="H42" s="109"/>
      <c r="I42" s="109"/>
      <c r="J42" s="68">
        <f t="shared" si="13"/>
        <v>2</v>
      </c>
      <c r="K42" s="39">
        <f t="shared" si="14"/>
        <v>17000</v>
      </c>
    </row>
    <row r="43">
      <c r="A43" s="21"/>
      <c r="B43" s="110" t="s">
        <v>209</v>
      </c>
      <c r="C43" s="75">
        <v>1.0</v>
      </c>
      <c r="D43" s="111"/>
      <c r="E43" s="111"/>
      <c r="F43" s="111"/>
      <c r="G43" s="111"/>
      <c r="H43" s="75">
        <v>1.0</v>
      </c>
      <c r="I43" s="111"/>
      <c r="J43" s="68">
        <f t="shared" si="13"/>
        <v>2</v>
      </c>
      <c r="K43" s="39">
        <f t="shared" si="14"/>
        <v>17000</v>
      </c>
    </row>
    <row r="44">
      <c r="A44" s="21"/>
      <c r="B44" s="112" t="s">
        <v>216</v>
      </c>
      <c r="C44" s="113"/>
      <c r="D44" s="77">
        <v>2.0</v>
      </c>
      <c r="E44" s="113"/>
      <c r="F44" s="77">
        <v>1.0</v>
      </c>
      <c r="G44" s="113"/>
      <c r="H44" s="113"/>
      <c r="I44" s="113"/>
      <c r="J44" s="68">
        <f t="shared" si="13"/>
        <v>3</v>
      </c>
      <c r="K44" s="39">
        <f t="shared" si="14"/>
        <v>25000</v>
      </c>
    </row>
    <row r="45">
      <c r="A45" s="21"/>
      <c r="B45" s="114" t="s">
        <v>218</v>
      </c>
      <c r="C45" s="115"/>
      <c r="D45" s="115"/>
      <c r="E45" s="115"/>
      <c r="F45" s="115"/>
      <c r="G45" s="115"/>
      <c r="H45" s="115"/>
      <c r="I45" s="115"/>
      <c r="J45" s="68">
        <f t="shared" si="13"/>
        <v>0</v>
      </c>
      <c r="K45" s="39">
        <f t="shared" si="14"/>
        <v>0</v>
      </c>
    </row>
    <row r="46">
      <c r="A46" s="21"/>
      <c r="B46" s="116" t="s">
        <v>220</v>
      </c>
      <c r="C46" s="117"/>
      <c r="D46" s="117"/>
      <c r="E46" s="79"/>
      <c r="F46" s="117"/>
      <c r="G46" s="79"/>
      <c r="H46" s="117"/>
      <c r="I46" s="117"/>
      <c r="J46" s="68">
        <f t="shared" si="13"/>
        <v>0</v>
      </c>
      <c r="K46" s="39">
        <f t="shared" si="14"/>
        <v>0</v>
      </c>
    </row>
    <row r="47">
      <c r="A47" s="21"/>
      <c r="B47" s="118" t="s">
        <v>222</v>
      </c>
      <c r="C47" s="81">
        <v>9.0</v>
      </c>
      <c r="D47" s="119"/>
      <c r="E47" s="81">
        <v>1.0</v>
      </c>
      <c r="F47" s="119"/>
      <c r="G47" s="81">
        <v>1.0</v>
      </c>
      <c r="H47" s="120"/>
      <c r="I47" s="120"/>
      <c r="J47" s="68">
        <f t="shared" si="13"/>
        <v>11</v>
      </c>
      <c r="K47" s="39">
        <f t="shared" si="14"/>
        <v>90000</v>
      </c>
    </row>
    <row r="48">
      <c r="A48" s="21"/>
      <c r="B48" s="46"/>
      <c r="C48" s="46"/>
      <c r="D48" s="46"/>
      <c r="E48" s="46"/>
      <c r="F48" s="46"/>
      <c r="G48" s="46"/>
      <c r="H48" s="46"/>
      <c r="I48" s="46"/>
      <c r="J48" s="46"/>
      <c r="K48" s="39">
        <f t="shared" si="14"/>
        <v>0</v>
      </c>
    </row>
    <row r="49">
      <c r="A49" s="21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>
      <c r="A50" s="21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>
      <c r="A51" s="21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>
      <c r="A52" s="21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>
      <c r="A53" s="26"/>
      <c r="B53" s="46"/>
      <c r="C53" s="46"/>
      <c r="D53" s="46"/>
      <c r="E53" s="46"/>
      <c r="F53" s="46"/>
      <c r="G53" s="46"/>
      <c r="H53" s="46"/>
      <c r="I53" s="46"/>
      <c r="J53" s="46"/>
      <c r="K53" s="46"/>
    </row>
  </sheetData>
  <mergeCells count="2">
    <mergeCell ref="A38:B38"/>
    <mergeCell ref="A40:A53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3" max="3" width="21.38"/>
    <col customWidth="1" min="4" max="4" width="20.88"/>
    <col customWidth="1" min="6" max="6" width="17.0"/>
  </cols>
  <sheetData>
    <row r="1">
      <c r="A1" s="2" t="s">
        <v>189</v>
      </c>
      <c r="B1" s="3"/>
      <c r="C1" s="3"/>
    </row>
    <row r="3">
      <c r="A3" s="6" t="s">
        <v>9</v>
      </c>
      <c r="B3" s="6" t="s">
        <v>190</v>
      </c>
      <c r="C3" s="6" t="s">
        <v>191</v>
      </c>
      <c r="D3" s="6" t="s">
        <v>192</v>
      </c>
      <c r="E3" s="6" t="s">
        <v>193</v>
      </c>
      <c r="F3" s="6" t="s">
        <v>194</v>
      </c>
    </row>
    <row r="4">
      <c r="A4" s="8">
        <v>1.0</v>
      </c>
      <c r="B4" s="18" t="s">
        <v>196</v>
      </c>
      <c r="C4" s="18" t="s">
        <v>197</v>
      </c>
      <c r="D4" s="18" t="s">
        <v>198</v>
      </c>
      <c r="E4" s="8" t="s">
        <v>199</v>
      </c>
      <c r="F4" s="73" t="s">
        <v>200</v>
      </c>
    </row>
    <row r="5">
      <c r="A5" s="8">
        <f t="shared" ref="A5:A17" si="1">A4+1</f>
        <v>2</v>
      </c>
      <c r="B5" s="18" t="s">
        <v>201</v>
      </c>
      <c r="C5" s="46"/>
      <c r="D5" s="46"/>
      <c r="E5" s="8" t="s">
        <v>199</v>
      </c>
      <c r="F5" s="25"/>
    </row>
    <row r="6">
      <c r="A6" s="8">
        <f t="shared" si="1"/>
        <v>3</v>
      </c>
      <c r="B6" s="18" t="s">
        <v>202</v>
      </c>
      <c r="C6" s="74" t="s">
        <v>203</v>
      </c>
      <c r="D6" s="18" t="s">
        <v>198</v>
      </c>
      <c r="E6" s="8" t="s">
        <v>199</v>
      </c>
      <c r="F6" s="73" t="s">
        <v>205</v>
      </c>
    </row>
    <row r="7">
      <c r="A7" s="8">
        <f t="shared" si="1"/>
        <v>4</v>
      </c>
      <c r="B7" s="18" t="s">
        <v>206</v>
      </c>
      <c r="C7" s="18" t="s">
        <v>207</v>
      </c>
      <c r="D7" s="18" t="s">
        <v>198</v>
      </c>
      <c r="E7" s="8" t="s">
        <v>199</v>
      </c>
      <c r="F7" s="73" t="s">
        <v>200</v>
      </c>
    </row>
    <row r="8">
      <c r="A8" s="8">
        <f t="shared" si="1"/>
        <v>5</v>
      </c>
      <c r="B8" s="18" t="s">
        <v>208</v>
      </c>
      <c r="C8" s="46"/>
      <c r="D8" s="46"/>
      <c r="E8" s="8" t="s">
        <v>199</v>
      </c>
      <c r="F8" s="25"/>
    </row>
    <row r="9">
      <c r="A9" s="8">
        <f t="shared" si="1"/>
        <v>6</v>
      </c>
      <c r="B9" s="18" t="s">
        <v>210</v>
      </c>
      <c r="C9" s="46"/>
      <c r="D9" s="46"/>
      <c r="E9" s="8" t="s">
        <v>199</v>
      </c>
      <c r="F9" s="25"/>
    </row>
    <row r="10">
      <c r="A10" s="8">
        <f t="shared" si="1"/>
        <v>7</v>
      </c>
      <c r="B10" s="18" t="s">
        <v>211</v>
      </c>
      <c r="C10" s="46"/>
      <c r="D10" s="46"/>
      <c r="E10" s="8" t="s">
        <v>199</v>
      </c>
      <c r="F10" s="25"/>
    </row>
    <row r="11">
      <c r="A11" s="8">
        <f t="shared" si="1"/>
        <v>8</v>
      </c>
      <c r="B11" s="18" t="s">
        <v>212</v>
      </c>
      <c r="C11" s="18" t="s">
        <v>213</v>
      </c>
      <c r="D11" s="18" t="s">
        <v>198</v>
      </c>
      <c r="E11" s="8" t="s">
        <v>199</v>
      </c>
      <c r="F11" s="25"/>
    </row>
    <row r="12">
      <c r="A12" s="8">
        <f t="shared" si="1"/>
        <v>9</v>
      </c>
      <c r="B12" s="18" t="s">
        <v>214</v>
      </c>
      <c r="C12" s="46"/>
      <c r="D12" s="46"/>
      <c r="E12" s="8" t="s">
        <v>199</v>
      </c>
      <c r="F12" s="25"/>
    </row>
    <row r="13">
      <c r="A13" s="8">
        <f t="shared" si="1"/>
        <v>10</v>
      </c>
      <c r="B13" s="46"/>
      <c r="C13" s="46"/>
      <c r="D13" s="46"/>
      <c r="E13" s="46"/>
      <c r="F13" s="25"/>
    </row>
    <row r="14">
      <c r="A14" s="8">
        <f t="shared" si="1"/>
        <v>11</v>
      </c>
      <c r="B14" s="46"/>
      <c r="C14" s="46"/>
      <c r="D14" s="46"/>
      <c r="E14" s="46"/>
      <c r="F14" s="25"/>
    </row>
    <row r="15">
      <c r="A15" s="8">
        <f t="shared" si="1"/>
        <v>12</v>
      </c>
      <c r="B15" s="46"/>
      <c r="C15" s="46"/>
      <c r="D15" s="46"/>
      <c r="E15" s="46"/>
      <c r="F15" s="25"/>
    </row>
    <row r="16">
      <c r="A16" s="8">
        <f t="shared" si="1"/>
        <v>13</v>
      </c>
      <c r="B16" s="46"/>
      <c r="C16" s="46"/>
      <c r="D16" s="46"/>
      <c r="E16" s="46"/>
      <c r="F16" s="25"/>
    </row>
    <row r="17">
      <c r="A17" s="8">
        <f t="shared" si="1"/>
        <v>14</v>
      </c>
      <c r="B17" s="46"/>
      <c r="C17" s="46"/>
      <c r="D17" s="46"/>
      <c r="E17" s="46"/>
      <c r="F17" s="25"/>
    </row>
    <row r="18">
      <c r="F18" s="40"/>
    </row>
  </sheetData>
  <drawing r:id="rId1"/>
</worksheet>
</file>